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leem\Desktop\Mas\2nd\Excel\"/>
    </mc:Choice>
  </mc:AlternateContent>
  <xr:revisionPtr revIDLastSave="0" documentId="13_ncr:1_{0169A15D-23D8-4F8C-8B77-7EDA6E23AD6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7" r:id="rId1"/>
    <sheet name="Dashboard" sheetId="8" r:id="rId2"/>
    <sheet name="Parts_Master" sheetId="1" r:id="rId3"/>
    <sheet name="Demand_Forecast" sheetId="2" r:id="rId4"/>
    <sheet name="Inventory_Coverage" sheetId="3" r:id="rId5"/>
    <sheet name="Purchase_Orders" sheetId="4" r:id="rId6"/>
    <sheet name="NPI_Program_Tracker" sheetId="5" r:id="rId7"/>
    <sheet name="Supplier_Scorecard" sheetId="6" r:id="rId8"/>
  </sheets>
  <definedNames>
    <definedName name="_xlnm._FilterDatabase" localSheetId="3" hidden="1">Demand_Forecast!$A$1:$G$1561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8" i="8" l="1"/>
  <c r="L38" i="8"/>
  <c r="K38" i="8"/>
  <c r="J38" i="8"/>
  <c r="I38" i="8"/>
  <c r="H38" i="8"/>
  <c r="M37" i="8"/>
  <c r="L37" i="8"/>
  <c r="K37" i="8"/>
  <c r="J37" i="8"/>
  <c r="I37" i="8"/>
  <c r="H37" i="8"/>
  <c r="M36" i="8"/>
  <c r="L36" i="8"/>
  <c r="K36" i="8"/>
  <c r="J36" i="8"/>
  <c r="I36" i="8"/>
  <c r="H36" i="8"/>
  <c r="M35" i="8"/>
  <c r="L35" i="8"/>
  <c r="K35" i="8"/>
  <c r="J35" i="8"/>
  <c r="I35" i="8"/>
  <c r="H35" i="8"/>
  <c r="F38" i="8"/>
  <c r="E38" i="8"/>
  <c r="D38" i="8"/>
  <c r="C38" i="8"/>
  <c r="B38" i="8"/>
  <c r="F37" i="8"/>
  <c r="E37" i="8"/>
  <c r="D37" i="8"/>
  <c r="C37" i="8"/>
  <c r="B37" i="8"/>
  <c r="F36" i="8"/>
  <c r="E36" i="8"/>
  <c r="D36" i="8"/>
  <c r="C36" i="8"/>
  <c r="B36" i="8"/>
  <c r="F35" i="8"/>
  <c r="E35" i="8"/>
  <c r="D35" i="8"/>
  <c r="C35" i="8"/>
  <c r="B35" i="8"/>
  <c r="M34" i="8"/>
  <c r="L34" i="8"/>
  <c r="K34" i="8"/>
  <c r="J34" i="8"/>
  <c r="I34" i="8"/>
  <c r="H34" i="8"/>
  <c r="F34" i="8"/>
  <c r="E34" i="8"/>
  <c r="D34" i="8"/>
  <c r="C34" i="8"/>
  <c r="B34" i="8"/>
  <c r="J8" i="8"/>
  <c r="F8" i="8"/>
  <c r="B8" i="8" a="1"/>
  <c r="B8" i="8" s="1"/>
  <c r="AC3" i="8"/>
  <c r="AC2" i="8"/>
  <c r="B13" i="8" s="1"/>
  <c r="AH74" i="8" a="1"/>
  <c r="AH74" i="8" s="1"/>
  <c r="AG74" i="8" a="1"/>
  <c r="AG74" i="8" s="1"/>
  <c r="AF74" i="8" a="1"/>
  <c r="AF74" i="8" s="1"/>
  <c r="AE74" i="8" a="1"/>
  <c r="AE74" i="8" s="1"/>
  <c r="AD74" i="8" a="1"/>
  <c r="AD74" i="8" s="1"/>
  <c r="AH73" i="8" a="1"/>
  <c r="AH73" i="8" s="1"/>
  <c r="AG73" i="8" a="1"/>
  <c r="AG73" i="8" s="1"/>
  <c r="AF73" i="8" a="1"/>
  <c r="AF73" i="8" s="1"/>
  <c r="AE73" i="8" a="1"/>
  <c r="AE73" i="8" s="1"/>
  <c r="AD73" i="8" a="1"/>
  <c r="AD73" i="8" s="1"/>
  <c r="AH72" i="8" a="1"/>
  <c r="AH72" i="8" s="1"/>
  <c r="AG72" i="8" a="1"/>
  <c r="AG72" i="8" s="1"/>
  <c r="AF72" i="8" a="1"/>
  <c r="AF72" i="8" s="1"/>
  <c r="AE72" i="8" a="1"/>
  <c r="AE72" i="8" s="1"/>
  <c r="AD72" i="8" a="1"/>
  <c r="AD72" i="8" s="1"/>
  <c r="AH71" i="8" a="1"/>
  <c r="AH71" i="8" s="1"/>
  <c r="AG71" i="8" a="1"/>
  <c r="AG71" i="8" s="1"/>
  <c r="AF71" i="8" a="1"/>
  <c r="AF71" i="8" s="1"/>
  <c r="AE71" i="8" a="1"/>
  <c r="AE71" i="8" s="1"/>
  <c r="AD71" i="8" a="1"/>
  <c r="AD71" i="8" s="1"/>
  <c r="AH70" i="8" a="1"/>
  <c r="AH70" i="8" s="1"/>
  <c r="AG70" i="8" a="1"/>
  <c r="AG70" i="8" s="1"/>
  <c r="AF70" i="8" a="1"/>
  <c r="AF70" i="8" s="1"/>
  <c r="AE70" i="8" a="1"/>
  <c r="AE70" i="8" s="1"/>
  <c r="AD70" i="8" a="1"/>
  <c r="AD70" i="8" s="1"/>
  <c r="AC74" i="8"/>
  <c r="AC73" i="8"/>
  <c r="AC72" i="8"/>
  <c r="AC71" i="8"/>
  <c r="AC70" i="8"/>
  <c r="AD59" i="8"/>
  <c r="AC59" i="8"/>
  <c r="AF59" i="8" s="1"/>
  <c r="AD58" i="8"/>
  <c r="AC58" i="8"/>
  <c r="AF58" i="8" s="1"/>
  <c r="AD57" i="8"/>
  <c r="AC57" i="8"/>
  <c r="AF57" i="8" s="1"/>
  <c r="AD56" i="8"/>
  <c r="AC56" i="8"/>
  <c r="AF56" i="8" s="1"/>
  <c r="AD55" i="8"/>
  <c r="AC55" i="8"/>
  <c r="AF55" i="8" s="1"/>
  <c r="AD54" i="8"/>
  <c r="AC54" i="8"/>
  <c r="AF54" i="8" s="1"/>
  <c r="AD53" i="8"/>
  <c r="AC53" i="8"/>
  <c r="AF53" i="8" s="1"/>
  <c r="AD52" i="8"/>
  <c r="AC52" i="8"/>
  <c r="AF52" i="8" s="1"/>
  <c r="AD51" i="8"/>
  <c r="AC51" i="8"/>
  <c r="AF51" i="8" s="1"/>
  <c r="AD50" i="8"/>
  <c r="AC50" i="8"/>
  <c r="AF50" i="8" s="1"/>
  <c r="AD49" i="8"/>
  <c r="AC49" i="8"/>
  <c r="AF49" i="8" s="1"/>
  <c r="AD48" i="8"/>
  <c r="AC48" i="8"/>
  <c r="AF48" i="8" s="1"/>
  <c r="AD47" i="8"/>
  <c r="AC47" i="8"/>
  <c r="AF47" i="8" s="1"/>
  <c r="AD46" i="8"/>
  <c r="AC46" i="8"/>
  <c r="AF46" i="8" s="1"/>
  <c r="AD45" i="8"/>
  <c r="AC45" i="8"/>
  <c r="AF45" i="8" s="1"/>
  <c r="AF44" i="8"/>
  <c r="AE44" i="8"/>
  <c r="AC44" i="8"/>
  <c r="AD44" i="8"/>
  <c r="AF40" i="8"/>
  <c r="AE40" i="8"/>
  <c r="AD40" i="8"/>
  <c r="AC40" i="8"/>
  <c r="AF39" i="8"/>
  <c r="AE39" i="8"/>
  <c r="AD39" i="8"/>
  <c r="AC39" i="8"/>
  <c r="AF38" i="8"/>
  <c r="AE38" i="8"/>
  <c r="AD38" i="8"/>
  <c r="AC38" i="8"/>
  <c r="AF37" i="8"/>
  <c r="AE37" i="8"/>
  <c r="AD37" i="8"/>
  <c r="AC37" i="8"/>
  <c r="AD18" i="8" a="1"/>
  <c r="AD18" i="8" s="1"/>
  <c r="AC18" i="8" a="1"/>
  <c r="AC18" i="8" s="1"/>
  <c r="AD17" i="8" a="1"/>
  <c r="AD17" i="8" s="1"/>
  <c r="AC17" i="8" a="1"/>
  <c r="AC17" i="8" s="1"/>
  <c r="AD16" i="8" a="1"/>
  <c r="AD16" i="8" s="1"/>
  <c r="AD15" i="8" a="1"/>
  <c r="AD15" i="8" s="1"/>
  <c r="AC15" i="8" a="1"/>
  <c r="AC15" i="8" s="1"/>
  <c r="AC26" i="8" a="1"/>
  <c r="AC26" i="8" s="1"/>
  <c r="F13" i="8" l="1"/>
  <c r="J13" i="8"/>
  <c r="AC63" i="8"/>
  <c r="AD22" i="8" a="1"/>
  <c r="AD22" i="8" s="1"/>
  <c r="AD26" i="8" a="1"/>
  <c r="AD26" i="8" s="1"/>
  <c r="AC19" i="8" a="1"/>
  <c r="AC19" i="8" s="1"/>
  <c r="AC23" i="8" a="1"/>
  <c r="AC23" i="8" s="1"/>
  <c r="AD19" i="8" a="1"/>
  <c r="AD19" i="8" s="1"/>
  <c r="AD23" i="8" a="1"/>
  <c r="AD23" i="8" s="1"/>
  <c r="AC16" i="8" a="1"/>
  <c r="AC16" i="8" s="1"/>
  <c r="AC20" i="8" a="1"/>
  <c r="AC20" i="8" s="1"/>
  <c r="AC24" i="8" a="1"/>
  <c r="AC24" i="8" s="1"/>
  <c r="AD20" i="8" a="1"/>
  <c r="AD20" i="8" s="1"/>
  <c r="AD24" i="8" a="1"/>
  <c r="AD24" i="8" s="1"/>
  <c r="AC21" i="8" a="1"/>
  <c r="AC21" i="8" s="1"/>
  <c r="AC25" i="8" a="1"/>
  <c r="AC25" i="8" s="1"/>
  <c r="AD21" i="8" a="1"/>
  <c r="AD21" i="8" s="1"/>
  <c r="AD25" i="8" a="1"/>
  <c r="AD25" i="8" s="1"/>
  <c r="AC22" i="8" a="1"/>
  <c r="AC22" i="8" s="1"/>
  <c r="AC30" i="8"/>
  <c r="AC65" i="8"/>
  <c r="AC64" i="8"/>
  <c r="AC31" i="8"/>
  <c r="AC66" i="8"/>
  <c r="AC32" i="8"/>
  <c r="AC33" i="8"/>
  <c r="AE46" i="8"/>
  <c r="AE48" i="8"/>
  <c r="AE50" i="8"/>
  <c r="AE52" i="8"/>
  <c r="AE54" i="8"/>
  <c r="AE56" i="8"/>
  <c r="AE58" i="8"/>
  <c r="AE49" i="8"/>
  <c r="AE59" i="8"/>
  <c r="AE45" i="8"/>
  <c r="AE47" i="8"/>
  <c r="AE51" i="8"/>
  <c r="AE53" i="8"/>
  <c r="AE55" i="8"/>
  <c r="AE5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<sst xmlns="http://schemas.openxmlformats.org/spreadsheetml/2006/main" count="9623" uniqueCount="1008">
  <si>
    <t>Part_ID</t>
  </si>
  <si>
    <t>Part_Name</t>
  </si>
  <si>
    <t>Supplier</t>
  </si>
  <si>
    <t>Lead_Time_Weeks</t>
  </si>
  <si>
    <t>Unit_Cost_USD</t>
  </si>
  <si>
    <t>Multi_Source</t>
  </si>
  <si>
    <t>Sourcing_Risk</t>
  </si>
  <si>
    <t>P1000</t>
  </si>
  <si>
    <t>GPU</t>
  </si>
  <si>
    <t>Supplier 13</t>
  </si>
  <si>
    <t>MEDIUM</t>
  </si>
  <si>
    <t>P1001</t>
  </si>
  <si>
    <t>Supplier 1</t>
  </si>
  <si>
    <t>P1002</t>
  </si>
  <si>
    <t>SSD</t>
  </si>
  <si>
    <t>Supplier 15</t>
  </si>
  <si>
    <t>LOW</t>
  </si>
  <si>
    <t>P1003</t>
  </si>
  <si>
    <t>Supplier 9</t>
  </si>
  <si>
    <t>P1004</t>
  </si>
  <si>
    <t>Supplier 11</t>
  </si>
  <si>
    <t>P1005</t>
  </si>
  <si>
    <t>NIC Card</t>
  </si>
  <si>
    <t>Supplier 5</t>
  </si>
  <si>
    <t>P1006</t>
  </si>
  <si>
    <t>Supplier 10</t>
  </si>
  <si>
    <t>P1007</t>
  </si>
  <si>
    <t>DIMM</t>
  </si>
  <si>
    <t>Supplier 14</t>
  </si>
  <si>
    <t>P1008</t>
  </si>
  <si>
    <t>P1009</t>
  </si>
  <si>
    <t>P1010</t>
  </si>
  <si>
    <t>Chassis</t>
  </si>
  <si>
    <t>Supplier 8</t>
  </si>
  <si>
    <t>P1011</t>
  </si>
  <si>
    <t>Supplier 7</t>
  </si>
  <si>
    <t>P1012</t>
  </si>
  <si>
    <t>Power Supply</t>
  </si>
  <si>
    <t>Supplier 6</t>
  </si>
  <si>
    <t>P1013</t>
  </si>
  <si>
    <t>Supplier 2</t>
  </si>
  <si>
    <t>P1014</t>
  </si>
  <si>
    <t>Custom NIC</t>
  </si>
  <si>
    <t>HIGH</t>
  </si>
  <si>
    <t>P1015</t>
  </si>
  <si>
    <t>Luggage Tag Kit</t>
  </si>
  <si>
    <t>Supplier 3</t>
  </si>
  <si>
    <t>P1016</t>
  </si>
  <si>
    <t>Supplier 4</t>
  </si>
  <si>
    <t>P1017</t>
  </si>
  <si>
    <t>LCD Bezel</t>
  </si>
  <si>
    <t>P1018</t>
  </si>
  <si>
    <t>Cable Kit</t>
  </si>
  <si>
    <t>Supplier 12</t>
  </si>
  <si>
    <t>P1019</t>
  </si>
  <si>
    <t>Supplier 16</t>
  </si>
  <si>
    <t>Week</t>
  </si>
  <si>
    <t>Program</t>
  </si>
  <si>
    <t>Forecast_Qty</t>
  </si>
  <si>
    <t>Actual_Demand</t>
  </si>
  <si>
    <t>Variance</t>
  </si>
  <si>
    <t>Variance_Pct</t>
  </si>
  <si>
    <t>2025-01-06</t>
  </si>
  <si>
    <t>Program A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</si>
  <si>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</si>
  <si>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</si>
  <si>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</si>
  <si>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</si>
  <si>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</si>
  <si>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</si>
  <si>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</si>
  <si>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</si>
  <si>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</si>
  <si>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</si>
  <si>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</si>
  <si>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</si>
  <si>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</si>
  <si>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</si>
  <si>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</si>
  <si>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</si>
  <si>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</si>
  <si>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</si>
  <si>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</si>
  <si>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</si>
  <si>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</si>
  <si>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</si>
  <si>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</si>
  <si>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</si>
  <si>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</si>
  <si>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</si>
  <si>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</si>
  <si>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</si>
  <si>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</si>
  <si>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</si>
  <si>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</si>
  <si>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</si>
  <si>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</si>
  <si>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</si>
  <si>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</si>
  <si>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</si>
  <si>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</si>
  <si>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</si>
  <si>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</si>
  <si>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</si>
  <si>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</si>
  <si>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</si>
  <si>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</si>
  <si>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</si>
  <si>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</si>
  <si>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</si>
  <si>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</si>
  <si>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</si>
  <si>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</si>
  <si>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</si>
  <si>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</si>
  <si>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Program B</t>
  </si>
  <si>
    <t>Program C</t>
  </si>
  <si>
    <t>Program D</t>
  </si>
  <si>
    <t>Program E</t>
  </si>
  <si>
    <t>Region</t>
  </si>
  <si>
    <t>On_Hand_Units</t>
  </si>
  <si>
    <t>On_Order_Units</t>
  </si>
  <si>
    <t>Weekly_Burn_Rate</t>
  </si>
  <si>
    <t>Coverage_Weeks</t>
  </si>
  <si>
    <t>Reorder_Point_Wks</t>
  </si>
  <si>
    <t>Below_Reorder</t>
  </si>
  <si>
    <t>Shortage_Risk</t>
  </si>
  <si>
    <t>NAM</t>
  </si>
  <si>
    <t>EMEA</t>
  </si>
  <si>
    <t>APJ</t>
  </si>
  <si>
    <t>BRH</t>
  </si>
  <si>
    <t>CRITICAL</t>
  </si>
  <si>
    <t>PO_Number</t>
  </si>
  <si>
    <t>Factory</t>
  </si>
  <si>
    <t>PO_Date</t>
  </si>
  <si>
    <t>Need_By_Date</t>
  </si>
  <si>
    <t>Expected_Date</t>
  </si>
  <si>
    <t>Quantity_Ordered</t>
  </si>
  <si>
    <t>Total_Value_USD</t>
  </si>
  <si>
    <t>Status</t>
  </si>
  <si>
    <t>On_Time</t>
  </si>
  <si>
    <t>Days_Late</t>
  </si>
  <si>
    <t>PO-10000</t>
  </si>
  <si>
    <t>Factory 2</t>
  </si>
  <si>
    <t>2026-02-09</t>
  </si>
  <si>
    <t>2026-02-13</t>
  </si>
  <si>
    <t>Open</t>
  </si>
  <si>
    <t>PO-10001</t>
  </si>
  <si>
    <t>2025-09-24</t>
  </si>
  <si>
    <t>2025-11-05</t>
  </si>
  <si>
    <t>2025-11-01</t>
  </si>
  <si>
    <t>PO-10002</t>
  </si>
  <si>
    <t>Factory 4</t>
  </si>
  <si>
    <t>2025-04-17</t>
  </si>
  <si>
    <t>2025-07-31</t>
  </si>
  <si>
    <t>2025-07-30</t>
  </si>
  <si>
    <t>PO-10003</t>
  </si>
  <si>
    <t>2025-06-06</t>
  </si>
  <si>
    <t>2025-10-17</t>
  </si>
  <si>
    <t>Delayed</t>
  </si>
  <si>
    <t>PO-10004</t>
  </si>
  <si>
    <t>2025-06-24</t>
  </si>
  <si>
    <t>2025-09-09</t>
  </si>
  <si>
    <t>2025-09-04</t>
  </si>
  <si>
    <t>PO-10005</t>
  </si>
  <si>
    <t>Factory 5</t>
  </si>
  <si>
    <t>2025-12-03</t>
  </si>
  <si>
    <t>PO-10006</t>
  </si>
  <si>
    <t>2025-05-17</t>
  </si>
  <si>
    <t>2025-07-19</t>
  </si>
  <si>
    <t>In Transit</t>
  </si>
  <si>
    <t>PO-10007</t>
  </si>
  <si>
    <t>2025-02-26</t>
  </si>
  <si>
    <t>2025-05-28</t>
  </si>
  <si>
    <t>2025-05-23</t>
  </si>
  <si>
    <t>PO-10008</t>
  </si>
  <si>
    <t>2025-03-06</t>
  </si>
  <si>
    <t>2025-06-05</t>
  </si>
  <si>
    <t>2025-06-13</t>
  </si>
  <si>
    <t>PO-10009</t>
  </si>
  <si>
    <t>Factory 3</t>
  </si>
  <si>
    <t>2025-10-01</t>
  </si>
  <si>
    <t>PO-10010</t>
  </si>
  <si>
    <t>Factory 1</t>
  </si>
  <si>
    <t>2025-09-16</t>
  </si>
  <si>
    <t>PO-10011</t>
  </si>
  <si>
    <t>2025-09-07</t>
  </si>
  <si>
    <t>2026-01-11</t>
  </si>
  <si>
    <t>2026-01-16</t>
  </si>
  <si>
    <t>PO-10012</t>
  </si>
  <si>
    <t>2025-03-28</t>
  </si>
  <si>
    <t>2025-07-08</t>
  </si>
  <si>
    <t>PO-10013</t>
  </si>
  <si>
    <t>2025-10-04</t>
  </si>
  <si>
    <t>2025-10-08</t>
  </si>
  <si>
    <t>Goods Received</t>
  </si>
  <si>
    <t>PO-10014</t>
  </si>
  <si>
    <t>2025-09-12</t>
  </si>
  <si>
    <t>2026-02-05</t>
  </si>
  <si>
    <t>PO-10015</t>
  </si>
  <si>
    <t>2025-07-09</t>
  </si>
  <si>
    <t>PO-10016</t>
  </si>
  <si>
    <t>2025-09-28</t>
  </si>
  <si>
    <t>2026-02-01</t>
  </si>
  <si>
    <t>PO-10017</t>
  </si>
  <si>
    <t>2025-07-02</t>
  </si>
  <si>
    <t>2025-09-10</t>
  </si>
  <si>
    <t>PO-10018</t>
  </si>
  <si>
    <t>2025-03-27</t>
  </si>
  <si>
    <t>2025-06-07</t>
  </si>
  <si>
    <t>PO-10019</t>
  </si>
  <si>
    <t>2025-06-19</t>
  </si>
  <si>
    <t>2025-09-18</t>
  </si>
  <si>
    <t>2025-09-17</t>
  </si>
  <si>
    <t>PO-10020</t>
  </si>
  <si>
    <t>2025-07-18</t>
  </si>
  <si>
    <t>2025-09-19</t>
  </si>
  <si>
    <t>PO-10021</t>
  </si>
  <si>
    <t>2025-08-23</t>
  </si>
  <si>
    <t>2025-11-29</t>
  </si>
  <si>
    <t>2025-12-21</t>
  </si>
  <si>
    <t>PO-10022</t>
  </si>
  <si>
    <t>2025-11-28</t>
  </si>
  <si>
    <t>PO-10023</t>
  </si>
  <si>
    <t>2025-10-18</t>
  </si>
  <si>
    <t>2025-12-27</t>
  </si>
  <si>
    <t>2025-12-23</t>
  </si>
  <si>
    <t>PO-10024</t>
  </si>
  <si>
    <t>2025-12-20</t>
  </si>
  <si>
    <t>PO-10025</t>
  </si>
  <si>
    <t>2025-04-30</t>
  </si>
  <si>
    <t>2025-07-16</t>
  </si>
  <si>
    <t>PO-10026</t>
  </si>
  <si>
    <t>2026-01-05</t>
  </si>
  <si>
    <t>PO-10027</t>
  </si>
  <si>
    <t>2025-07-06</t>
  </si>
  <si>
    <t>2025-09-21</t>
  </si>
  <si>
    <t>2025-09-20</t>
  </si>
  <si>
    <t>PO-10028</t>
  </si>
  <si>
    <t>2025-01-29</t>
  </si>
  <si>
    <t>2025-03-26</t>
  </si>
  <si>
    <t>PO-10029</t>
  </si>
  <si>
    <t>2025-05-16</t>
  </si>
  <si>
    <t>PO-10030</t>
  </si>
  <si>
    <t>2025-04-13</t>
  </si>
  <si>
    <t>2025-08-24</t>
  </si>
  <si>
    <t>2025-08-20</t>
  </si>
  <si>
    <t>PO-10031</t>
  </si>
  <si>
    <t>2025-08-28</t>
  </si>
  <si>
    <t>2025-10-23</t>
  </si>
  <si>
    <t>2025-10-26</t>
  </si>
  <si>
    <t>PO-10032</t>
  </si>
  <si>
    <t>2025-01-30</t>
  </si>
  <si>
    <t>2025-03-13</t>
  </si>
  <si>
    <t>2025-03-14</t>
  </si>
  <si>
    <t>PO-10033</t>
  </si>
  <si>
    <t>2025-04-04</t>
  </si>
  <si>
    <t>2025-07-15</t>
  </si>
  <si>
    <t>PO-10034</t>
  </si>
  <si>
    <t>2025-11-07</t>
  </si>
  <si>
    <t>PO-10035</t>
  </si>
  <si>
    <t>2025-10-15</t>
  </si>
  <si>
    <t>PO-10036</t>
  </si>
  <si>
    <t>2025-09-25</t>
  </si>
  <si>
    <t>2025-12-04</t>
  </si>
  <si>
    <t>2025-12-07</t>
  </si>
  <si>
    <t>PO-10037</t>
  </si>
  <si>
    <t>2025-04-23</t>
  </si>
  <si>
    <t>PO-10038</t>
  </si>
  <si>
    <t>PO-10039</t>
  </si>
  <si>
    <t>PO-10040</t>
  </si>
  <si>
    <t>2025-06-01</t>
  </si>
  <si>
    <t>2025-10-05</t>
  </si>
  <si>
    <t>PO-10041</t>
  </si>
  <si>
    <t>2025-07-20</t>
  </si>
  <si>
    <t>2025-09-14</t>
  </si>
  <si>
    <t>2025-10-12</t>
  </si>
  <si>
    <t>PO-10042</t>
  </si>
  <si>
    <t>2025-03-29</t>
  </si>
  <si>
    <t>2025-07-05</t>
  </si>
  <si>
    <t>2025-07-10</t>
  </si>
  <si>
    <t>PO-10043</t>
  </si>
  <si>
    <t>2025-04-20</t>
  </si>
  <si>
    <t>2025-06-15</t>
  </si>
  <si>
    <t>2025-06-10</t>
  </si>
  <si>
    <t>PO-10044</t>
  </si>
  <si>
    <t>PO-10045</t>
  </si>
  <si>
    <t>2025-08-06</t>
  </si>
  <si>
    <t>PO-10046</t>
  </si>
  <si>
    <t>2026-02-04</t>
  </si>
  <si>
    <t>2026-02-19</t>
  </si>
  <si>
    <t>PO-10047</t>
  </si>
  <si>
    <t>2025-07-13</t>
  </si>
  <si>
    <t>2025-08-27</t>
  </si>
  <si>
    <t>PO-10048</t>
  </si>
  <si>
    <t>PO-10049</t>
  </si>
  <si>
    <t>2025-09-26</t>
  </si>
  <si>
    <t>2025-12-12</t>
  </si>
  <si>
    <t>PO-10050</t>
  </si>
  <si>
    <t>2025-05-21</t>
  </si>
  <si>
    <t>PO-10051</t>
  </si>
  <si>
    <t>2025-10-24</t>
  </si>
  <si>
    <t>PO-10052</t>
  </si>
  <si>
    <t>2025-02-01</t>
  </si>
  <si>
    <t>2025-05-24</t>
  </si>
  <si>
    <t>2025-05-29</t>
  </si>
  <si>
    <t>PO-10053</t>
  </si>
  <si>
    <t>2026-02-15</t>
  </si>
  <si>
    <t>2026-02-11</t>
  </si>
  <si>
    <t>PO-10054</t>
  </si>
  <si>
    <t>2026-01-21</t>
  </si>
  <si>
    <t>PO-10055</t>
  </si>
  <si>
    <t>2025-10-07</t>
  </si>
  <si>
    <t>2025-11-18</t>
  </si>
  <si>
    <t>PO-10056</t>
  </si>
  <si>
    <t>2025-08-13</t>
  </si>
  <si>
    <t>2025-08-17</t>
  </si>
  <si>
    <t>PO-10057</t>
  </si>
  <si>
    <t>2025-10-22</t>
  </si>
  <si>
    <t>PO-10058</t>
  </si>
  <si>
    <t>2025-08-14</t>
  </si>
  <si>
    <t>2025-08-10</t>
  </si>
  <si>
    <t>PO-10059</t>
  </si>
  <si>
    <t>2025-09-27</t>
  </si>
  <si>
    <t>2026-01-03</t>
  </si>
  <si>
    <t>PO-10060</t>
  </si>
  <si>
    <t>2025-01-28</t>
  </si>
  <si>
    <t>2025-04-08</t>
  </si>
  <si>
    <t>PO-10061</t>
  </si>
  <si>
    <t>2025-04-01</t>
  </si>
  <si>
    <t>PO-10062</t>
  </si>
  <si>
    <t>2025-04-25</t>
  </si>
  <si>
    <t>2025-06-27</t>
  </si>
  <si>
    <t>2025-06-28</t>
  </si>
  <si>
    <t>PO-10063</t>
  </si>
  <si>
    <t>2025-03-25</t>
  </si>
  <si>
    <t>2025-08-01</t>
  </si>
  <si>
    <t>PO-10064</t>
  </si>
  <si>
    <t>2025-02-02</t>
  </si>
  <si>
    <t>2025-03-16</t>
  </si>
  <si>
    <t>PO-10065</t>
  </si>
  <si>
    <t>2025-05-02</t>
  </si>
  <si>
    <t>2025-07-11</t>
  </si>
  <si>
    <t>2025-07-12</t>
  </si>
  <si>
    <t>PO-10066</t>
  </si>
  <si>
    <t>PO-10067</t>
  </si>
  <si>
    <t>2025-02-07</t>
  </si>
  <si>
    <t>2025-04-18</t>
  </si>
  <si>
    <t>2025-04-22</t>
  </si>
  <si>
    <t>PO-10068</t>
  </si>
  <si>
    <t>2025-11-15</t>
  </si>
  <si>
    <t>2025-12-13</t>
  </si>
  <si>
    <t>PO-10069</t>
  </si>
  <si>
    <t>2025-11-08</t>
  </si>
  <si>
    <t>PO-10070</t>
  </si>
  <si>
    <t>PO-10071</t>
  </si>
  <si>
    <t>PO-10072</t>
  </si>
  <si>
    <t>2025-05-03</t>
  </si>
  <si>
    <t>PO-10073</t>
  </si>
  <si>
    <t>PO-10074</t>
  </si>
  <si>
    <t>2025-04-10</t>
  </si>
  <si>
    <t>2025-06-18</t>
  </si>
  <si>
    <t>PO-10075</t>
  </si>
  <si>
    <t>2025-03-30</t>
  </si>
  <si>
    <t>2025-04-02</t>
  </si>
  <si>
    <t>PO-10076</t>
  </si>
  <si>
    <t>2025-02-09</t>
  </si>
  <si>
    <t>PO-10077</t>
  </si>
  <si>
    <t>2025-10-19</t>
  </si>
  <si>
    <t>PO-10078</t>
  </si>
  <si>
    <t>PO-10079</t>
  </si>
  <si>
    <t>2025-06-11</t>
  </si>
  <si>
    <t>PO-10080</t>
  </si>
  <si>
    <t>2025-10-29</t>
  </si>
  <si>
    <t>PO-10081</t>
  </si>
  <si>
    <t>2025-05-27</t>
  </si>
  <si>
    <t>2025-08-12</t>
  </si>
  <si>
    <t>2025-08-09</t>
  </si>
  <si>
    <t>PO-10082</t>
  </si>
  <si>
    <t>2025-08-30</t>
  </si>
  <si>
    <t>PO-10083</t>
  </si>
  <si>
    <t>2025-02-16</t>
  </si>
  <si>
    <t>2025-06-22</t>
  </si>
  <si>
    <t>PO-10084</t>
  </si>
  <si>
    <t>2025-02-13</t>
  </si>
  <si>
    <t>2025-05-01</t>
  </si>
  <si>
    <t>2025-05-04</t>
  </si>
  <si>
    <t>PO-10085</t>
  </si>
  <si>
    <t>2025-04-24</t>
  </si>
  <si>
    <t>PO-10086</t>
  </si>
  <si>
    <t>2025-08-16</t>
  </si>
  <si>
    <t>PO-10087</t>
  </si>
  <si>
    <t>2025-10-25</t>
  </si>
  <si>
    <t>PO-10088</t>
  </si>
  <si>
    <t>PO-10089</t>
  </si>
  <si>
    <t>2025-12-17</t>
  </si>
  <si>
    <t>2025-12-14</t>
  </si>
  <si>
    <t>PO-10090</t>
  </si>
  <si>
    <t>PO-10091</t>
  </si>
  <si>
    <t>PO-10092</t>
  </si>
  <si>
    <t>2025-04-16</t>
  </si>
  <si>
    <t>2025-05-13</t>
  </si>
  <si>
    <t>PO-10093</t>
  </si>
  <si>
    <t>PO-10094</t>
  </si>
  <si>
    <t>PO-10095</t>
  </si>
  <si>
    <t>2025-06-25</t>
  </si>
  <si>
    <t>PO-10096</t>
  </si>
  <si>
    <t>2025-01-09</t>
  </si>
  <si>
    <t>PO-10097</t>
  </si>
  <si>
    <t>2026-01-09</t>
  </si>
  <si>
    <t>2026-01-07</t>
  </si>
  <si>
    <t>PO-10098</t>
  </si>
  <si>
    <t>2025-03-07</t>
  </si>
  <si>
    <t>2025-05-09</t>
  </si>
  <si>
    <t>2025-05-10</t>
  </si>
  <si>
    <t>PO-10099</t>
  </si>
  <si>
    <t>2025-12-26</t>
  </si>
  <si>
    <t>PO-10100</t>
  </si>
  <si>
    <t>2025-06-14</t>
  </si>
  <si>
    <t>PO-10101</t>
  </si>
  <si>
    <t>2025-12-25</t>
  </si>
  <si>
    <t>2026-01-19</t>
  </si>
  <si>
    <t>PO-10102</t>
  </si>
  <si>
    <t>2025-05-18</t>
  </si>
  <si>
    <t>2025-08-03</t>
  </si>
  <si>
    <t>PO-10103</t>
  </si>
  <si>
    <t>2025-02-18</t>
  </si>
  <si>
    <t>2025-04-15</t>
  </si>
  <si>
    <t>2025-04-19</t>
  </si>
  <si>
    <t>PO-10104</t>
  </si>
  <si>
    <t>PO-10105</t>
  </si>
  <si>
    <t>2025-08-08</t>
  </si>
  <si>
    <t>PO-10106</t>
  </si>
  <si>
    <t>2025-07-22</t>
  </si>
  <si>
    <t>2025-09-30</t>
  </si>
  <si>
    <t>PO-10107</t>
  </si>
  <si>
    <t>2025-05-31</t>
  </si>
  <si>
    <t>PO-10108</t>
  </si>
  <si>
    <t>2025-10-28</t>
  </si>
  <si>
    <t>PO-10109</t>
  </si>
  <si>
    <t>2025-10-09</t>
  </si>
  <si>
    <t>2025-12-09</t>
  </si>
  <si>
    <t>PO-10110</t>
  </si>
  <si>
    <t>2025-03-04</t>
  </si>
  <si>
    <t>2025-03-05</t>
  </si>
  <si>
    <t>PO-10111</t>
  </si>
  <si>
    <t>PO-10112</t>
  </si>
  <si>
    <t>2025-07-03</t>
  </si>
  <si>
    <t>PO-10113</t>
  </si>
  <si>
    <t>2025-03-02</t>
  </si>
  <si>
    <t>PO-10114</t>
  </si>
  <si>
    <t>2025-08-21</t>
  </si>
  <si>
    <t>PO-10115</t>
  </si>
  <si>
    <t>2026-01-27</t>
  </si>
  <si>
    <t>PO-10116</t>
  </si>
  <si>
    <t>2025-08-05</t>
  </si>
  <si>
    <t>2025-11-11</t>
  </si>
  <si>
    <t>2025-11-14</t>
  </si>
  <si>
    <t>PO-10117</t>
  </si>
  <si>
    <t>2025-11-21</t>
  </si>
  <si>
    <t>2025-11-20</t>
  </si>
  <si>
    <t>PO-10118</t>
  </si>
  <si>
    <t>2025-05-11</t>
  </si>
  <si>
    <t>PO-10119</t>
  </si>
  <si>
    <t>2025-09-23</t>
  </si>
  <si>
    <t>2025-11-04</t>
  </si>
  <si>
    <t>PO-10120</t>
  </si>
  <si>
    <t>2025-07-24</t>
  </si>
  <si>
    <t>2025-10-02</t>
  </si>
  <si>
    <t>PO-10121</t>
  </si>
  <si>
    <t>PO-10122</t>
  </si>
  <si>
    <t>2025-01-25</t>
  </si>
  <si>
    <t>2025-03-08</t>
  </si>
  <si>
    <t>2025-03-09</t>
  </si>
  <si>
    <t>PO-10123</t>
  </si>
  <si>
    <t>2025-02-04</t>
  </si>
  <si>
    <t>2025-04-12</t>
  </si>
  <si>
    <t>PO-10124</t>
  </si>
  <si>
    <t>2025-09-02</t>
  </si>
  <si>
    <t>PO-10125</t>
  </si>
  <si>
    <t>PO-10126</t>
  </si>
  <si>
    <t>2025-05-08</t>
  </si>
  <si>
    <t>2025-08-07</t>
  </si>
  <si>
    <t>PO-10127</t>
  </si>
  <si>
    <t>2025-07-27</t>
  </si>
  <si>
    <t>PO-10128</t>
  </si>
  <si>
    <t>2025-10-14</t>
  </si>
  <si>
    <t>2026-01-20</t>
  </si>
  <si>
    <t>2026-01-23</t>
  </si>
  <si>
    <t>PO-10129</t>
  </si>
  <si>
    <t>PO-10130</t>
  </si>
  <si>
    <t>2025-04-05</t>
  </si>
  <si>
    <t>PO-10131</t>
  </si>
  <si>
    <t>PO-10132</t>
  </si>
  <si>
    <t>2025-11-26</t>
  </si>
  <si>
    <t>PO-10133</t>
  </si>
  <si>
    <t>PO-10134</t>
  </si>
  <si>
    <t>PO-10135</t>
  </si>
  <si>
    <t>2025-08-26</t>
  </si>
  <si>
    <t>PO-10136</t>
  </si>
  <si>
    <t>2025-10-16</t>
  </si>
  <si>
    <t>2026-01-01</t>
  </si>
  <si>
    <t>PO-10137</t>
  </si>
  <si>
    <t>2025-10-03</t>
  </si>
  <si>
    <t>PO-10138</t>
  </si>
  <si>
    <t>2025-08-15</t>
  </si>
  <si>
    <t>PO-10139</t>
  </si>
  <si>
    <t>PO-10140</t>
  </si>
  <si>
    <t>2025-02-20</t>
  </si>
  <si>
    <t>2025-02-23</t>
  </si>
  <si>
    <t>PO-10141</t>
  </si>
  <si>
    <t>PO-10142</t>
  </si>
  <si>
    <t>PO-10143</t>
  </si>
  <si>
    <t>2025-12-18</t>
  </si>
  <si>
    <t>PO-10144</t>
  </si>
  <si>
    <t>PO-10145</t>
  </si>
  <si>
    <t>PO-10146</t>
  </si>
  <si>
    <t>PO-10147</t>
  </si>
  <si>
    <t>PO-10148</t>
  </si>
  <si>
    <t>PO-10149</t>
  </si>
  <si>
    <t>PO-10150</t>
  </si>
  <si>
    <t>2025-03-23</t>
  </si>
  <si>
    <t>2025-04-27</t>
  </si>
  <si>
    <t>PO-10151</t>
  </si>
  <si>
    <t>PO-10152</t>
  </si>
  <si>
    <t>2026-01-29</t>
  </si>
  <si>
    <t>2026-02-08</t>
  </si>
  <si>
    <t>PO-10153</t>
  </si>
  <si>
    <t>2025-04-26</t>
  </si>
  <si>
    <t>PO-10154</t>
  </si>
  <si>
    <t>PO-10155</t>
  </si>
  <si>
    <t>PO-10156</t>
  </si>
  <si>
    <t>2025-12-11</t>
  </si>
  <si>
    <t>PO-10157</t>
  </si>
  <si>
    <t>2026-01-14</t>
  </si>
  <si>
    <t>PO-10158</t>
  </si>
  <si>
    <t>2025-03-21</t>
  </si>
  <si>
    <t>PO-10159</t>
  </si>
  <si>
    <t>2025-02-15</t>
  </si>
  <si>
    <t>PO-10160</t>
  </si>
  <si>
    <t>2025-05-22</t>
  </si>
  <si>
    <t>2025-08-22</t>
  </si>
  <si>
    <t>PO-10161</t>
  </si>
  <si>
    <t>PO-10162</t>
  </si>
  <si>
    <t>2025-05-06</t>
  </si>
  <si>
    <t>2025-07-01</t>
  </si>
  <si>
    <t>PO-10163</t>
  </si>
  <si>
    <t>PO-10164</t>
  </si>
  <si>
    <t>PO-10165</t>
  </si>
  <si>
    <t>2025-11-27</t>
  </si>
  <si>
    <t>2025-11-25</t>
  </si>
  <si>
    <t>PO-10166</t>
  </si>
  <si>
    <t>2025-11-22</t>
  </si>
  <si>
    <t>PO-10167</t>
  </si>
  <si>
    <t>2025-09-06</t>
  </si>
  <si>
    <t>PO-10168</t>
  </si>
  <si>
    <t>PO-10169</t>
  </si>
  <si>
    <t>2026-01-26</t>
  </si>
  <si>
    <t>PO-10170</t>
  </si>
  <si>
    <t>PO-10171</t>
  </si>
  <si>
    <t>PO-10172</t>
  </si>
  <si>
    <t>2025-01-10</t>
  </si>
  <si>
    <t>PO-10173</t>
  </si>
  <si>
    <t>2025-06-04</t>
  </si>
  <si>
    <t>2025-07-25</t>
  </si>
  <si>
    <t>PO-10174</t>
  </si>
  <si>
    <t>PO-10175</t>
  </si>
  <si>
    <t>PO-10176</t>
  </si>
  <si>
    <t>2026-01-18</t>
  </si>
  <si>
    <t>PO-10177</t>
  </si>
  <si>
    <t>2025-06-03</t>
  </si>
  <si>
    <t>PO-10178</t>
  </si>
  <si>
    <t>2025-12-16</t>
  </si>
  <si>
    <t>PO-10179</t>
  </si>
  <si>
    <t>2025-02-27</t>
  </si>
  <si>
    <t>2025-05-15</t>
  </si>
  <si>
    <t>PO-10180</t>
  </si>
  <si>
    <t>2025-02-21</t>
  </si>
  <si>
    <t>PO-10181</t>
  </si>
  <si>
    <t>2025-09-13</t>
  </si>
  <si>
    <t>PO-10182</t>
  </si>
  <si>
    <t>PO-10183</t>
  </si>
  <si>
    <t>2025-10-11</t>
  </si>
  <si>
    <t>2025-12-06</t>
  </si>
  <si>
    <t>PO-10184</t>
  </si>
  <si>
    <t>PO-10185</t>
  </si>
  <si>
    <t>2025-08-29</t>
  </si>
  <si>
    <t>PO-10186</t>
  </si>
  <si>
    <t>2025-09-03</t>
  </si>
  <si>
    <t>PO-10187</t>
  </si>
  <si>
    <t>2026-02-02</t>
  </si>
  <si>
    <t>2026-02-24</t>
  </si>
  <si>
    <t>PO-10188</t>
  </si>
  <si>
    <t>PO-10189</t>
  </si>
  <si>
    <t>2025-06-21</t>
  </si>
  <si>
    <t>2025-11-16</t>
  </si>
  <si>
    <t>PO-10190</t>
  </si>
  <si>
    <t>PO-10191</t>
  </si>
  <si>
    <t>PO-10192</t>
  </si>
  <si>
    <t>PO-10193</t>
  </si>
  <si>
    <t>2026-01-24</t>
  </si>
  <si>
    <t>PO-10194</t>
  </si>
  <si>
    <t>PO-10195</t>
  </si>
  <si>
    <t>PO-10196</t>
  </si>
  <si>
    <t>PO-10197</t>
  </si>
  <si>
    <t>PO-10198</t>
  </si>
  <si>
    <t>PO-10199</t>
  </si>
  <si>
    <t>2025-03-20</t>
  </si>
  <si>
    <t>PO-10200</t>
  </si>
  <si>
    <t>2025-09-05</t>
  </si>
  <si>
    <t>PO-10201</t>
  </si>
  <si>
    <t>2025-07-23</t>
  </si>
  <si>
    <t>PO-10202</t>
  </si>
  <si>
    <t>2025-05-30</t>
  </si>
  <si>
    <t>PO-10203</t>
  </si>
  <si>
    <t>PO-10204</t>
  </si>
  <si>
    <t>2025-03-01</t>
  </si>
  <si>
    <t>PO-10205</t>
  </si>
  <si>
    <t>2026-01-08</t>
  </si>
  <si>
    <t>2026-01-12</t>
  </si>
  <si>
    <t>PO-10206</t>
  </si>
  <si>
    <t>2025-02-11</t>
  </si>
  <si>
    <t>PO-10207</t>
  </si>
  <si>
    <t>2026-01-13</t>
  </si>
  <si>
    <t>PO-10208</t>
  </si>
  <si>
    <t>PO-10209</t>
  </si>
  <si>
    <t>2025-02-14</t>
  </si>
  <si>
    <t>PO-10210</t>
  </si>
  <si>
    <t>PO-10211</t>
  </si>
  <si>
    <t>2026-02-07</t>
  </si>
  <si>
    <t>2026-02-03</t>
  </si>
  <si>
    <t>PO-10212</t>
  </si>
  <si>
    <t>PO-10213</t>
  </si>
  <si>
    <t>PO-10214</t>
  </si>
  <si>
    <t>2025-12-30</t>
  </si>
  <si>
    <t>PO-10215</t>
  </si>
  <si>
    <t>PO-10216</t>
  </si>
  <si>
    <t>PO-10217</t>
  </si>
  <si>
    <t>2025-01-14</t>
  </si>
  <si>
    <t>2025-04-29</t>
  </si>
  <si>
    <t>PO-10218</t>
  </si>
  <si>
    <t>PO-10219</t>
  </si>
  <si>
    <t>2025-05-07</t>
  </si>
  <si>
    <t>PO-10220</t>
  </si>
  <si>
    <t>PO-10221</t>
  </si>
  <si>
    <t>PO-10222</t>
  </si>
  <si>
    <t>PO-10223</t>
  </si>
  <si>
    <t>PO-10224</t>
  </si>
  <si>
    <t>PO-10225</t>
  </si>
  <si>
    <t>PO-10226</t>
  </si>
  <si>
    <t>2025-12-24</t>
  </si>
  <si>
    <t>PO-10227</t>
  </si>
  <si>
    <t>2026-03-02</t>
  </si>
  <si>
    <t>2026-02-28</t>
  </si>
  <si>
    <t>PO-10228</t>
  </si>
  <si>
    <t>PO-10229</t>
  </si>
  <si>
    <t>2025-07-29</t>
  </si>
  <si>
    <t>PO-10230</t>
  </si>
  <si>
    <t>2025-10-21</t>
  </si>
  <si>
    <t>PO-10231</t>
  </si>
  <si>
    <t>2025-12-10</t>
  </si>
  <si>
    <t>PO-10232</t>
  </si>
  <si>
    <t>PO-10233</t>
  </si>
  <si>
    <t>PO-10234</t>
  </si>
  <si>
    <t>2025-07-04</t>
  </si>
  <si>
    <t>2025-08-31</t>
  </si>
  <si>
    <t>PO-10235</t>
  </si>
  <si>
    <t>PO-10236</t>
  </si>
  <si>
    <t>PO-10237</t>
  </si>
  <si>
    <t>PO-10238</t>
  </si>
  <si>
    <t>PO-10239</t>
  </si>
  <si>
    <t>2025-03-19</t>
  </si>
  <si>
    <t>PO-10240</t>
  </si>
  <si>
    <t>2025-04-03</t>
  </si>
  <si>
    <t>PO-10241</t>
  </si>
  <si>
    <t>PO-10242</t>
  </si>
  <si>
    <t>PO-10243</t>
  </si>
  <si>
    <t>2026-01-06</t>
  </si>
  <si>
    <t>2026-01-02</t>
  </si>
  <si>
    <t>PO-10244</t>
  </si>
  <si>
    <t>PO-10245</t>
  </si>
  <si>
    <t>PO-10246</t>
  </si>
  <si>
    <t>2025-01-15</t>
  </si>
  <si>
    <t>PO-10247</t>
  </si>
  <si>
    <t>2026-01-30</t>
  </si>
  <si>
    <t>2026-01-25</t>
  </si>
  <si>
    <t>PO-10248</t>
  </si>
  <si>
    <t>PO-10249</t>
  </si>
  <si>
    <t>2025-02-19</t>
  </si>
  <si>
    <t>PO-10250</t>
  </si>
  <si>
    <t>PO-10251</t>
  </si>
  <si>
    <t>2025-10-10</t>
  </si>
  <si>
    <t>2025-12-19</t>
  </si>
  <si>
    <t>2026-01-15</t>
  </si>
  <si>
    <t>PO-10252</t>
  </si>
  <si>
    <t>PO-10253</t>
  </si>
  <si>
    <t>PO-10254</t>
  </si>
  <si>
    <t>2025-06-17</t>
  </si>
  <si>
    <t>PO-10255</t>
  </si>
  <si>
    <t>PO-10256</t>
  </si>
  <si>
    <t>2025-06-20</t>
  </si>
  <si>
    <t>PO-10257</t>
  </si>
  <si>
    <t>2025-08-19</t>
  </si>
  <si>
    <t>PO-10258</t>
  </si>
  <si>
    <t>PO-10259</t>
  </si>
  <si>
    <t>PO-10260</t>
  </si>
  <si>
    <t>PO-10261</t>
  </si>
  <si>
    <t>PO-10262</t>
  </si>
  <si>
    <t>2025-10-30</t>
  </si>
  <si>
    <t>2025-10-31</t>
  </si>
  <si>
    <t>PO-10263</t>
  </si>
  <si>
    <t>2025-07-26</t>
  </si>
  <si>
    <t>PO-10264</t>
  </si>
  <si>
    <t>PO-10265</t>
  </si>
  <si>
    <t>PO-10266</t>
  </si>
  <si>
    <t>PO-10267</t>
  </si>
  <si>
    <t>2025-06-12</t>
  </si>
  <si>
    <t>PO-10268</t>
  </si>
  <si>
    <t>PO-10269</t>
  </si>
  <si>
    <t>PO-10270</t>
  </si>
  <si>
    <t>PO-10271</t>
  </si>
  <si>
    <t>PO-10272</t>
  </si>
  <si>
    <t>PO-10273</t>
  </si>
  <si>
    <t>2025-07-17</t>
  </si>
  <si>
    <t>PO-10274</t>
  </si>
  <si>
    <t>PO-10275</t>
  </si>
  <si>
    <t>PO-10276</t>
  </si>
  <si>
    <t>PO-10277</t>
  </si>
  <si>
    <t>PO-10278</t>
  </si>
  <si>
    <t>PO-10279</t>
  </si>
  <si>
    <t>PO-10280</t>
  </si>
  <si>
    <t>2025-01-22</t>
  </si>
  <si>
    <t>PO-10281</t>
  </si>
  <si>
    <t>PO-10282</t>
  </si>
  <si>
    <t>2025-11-30</t>
  </si>
  <si>
    <t>PO-10283</t>
  </si>
  <si>
    <t>2025-02-22</t>
  </si>
  <si>
    <t>PO-10284</t>
  </si>
  <si>
    <t>2025-12-31</t>
  </si>
  <si>
    <t>PO-10285</t>
  </si>
  <si>
    <t>PO-10286</t>
  </si>
  <si>
    <t>PO-10287</t>
  </si>
  <si>
    <t>PO-10288</t>
  </si>
  <si>
    <t>2026-03-01</t>
  </si>
  <si>
    <t>PO-10289</t>
  </si>
  <si>
    <t>PO-10290</t>
  </si>
  <si>
    <t>PO-10291</t>
  </si>
  <si>
    <t>PO-10292</t>
  </si>
  <si>
    <t>PO-10293</t>
  </si>
  <si>
    <t>PO-10294</t>
  </si>
  <si>
    <t>PO-10295</t>
  </si>
  <si>
    <t>2025-05-25</t>
  </si>
  <si>
    <t>PO-10296</t>
  </si>
  <si>
    <t>PO-10297</t>
  </si>
  <si>
    <t>2025-12-02</t>
  </si>
  <si>
    <t>PO-10298</t>
  </si>
  <si>
    <t>2025-02-08</t>
  </si>
  <si>
    <t>PO-10299</t>
  </si>
  <si>
    <t>PO-10300</t>
  </si>
  <si>
    <t>PO-10301</t>
  </si>
  <si>
    <t>PO-10302</t>
  </si>
  <si>
    <t>2025-05-20</t>
  </si>
  <si>
    <t>PO-10303</t>
  </si>
  <si>
    <t>2025-01-18</t>
  </si>
  <si>
    <t>PO-10304</t>
  </si>
  <si>
    <t>PO-10305</t>
  </si>
  <si>
    <t>2025-01-24</t>
  </si>
  <si>
    <t>2025-02-28</t>
  </si>
  <si>
    <t>PO-10306</t>
  </si>
  <si>
    <t>PO-10307</t>
  </si>
  <si>
    <t>PO-10308</t>
  </si>
  <si>
    <t>PO-10309</t>
  </si>
  <si>
    <t>PO-10310</t>
  </si>
  <si>
    <t>2025-12-05</t>
  </si>
  <si>
    <t>PO-10311</t>
  </si>
  <si>
    <t>PO-10312</t>
  </si>
  <si>
    <t>PO-10313</t>
  </si>
  <si>
    <t>PO-10314</t>
  </si>
  <si>
    <t>PO-10315</t>
  </si>
  <si>
    <t>PO-10316</t>
  </si>
  <si>
    <t>PO-10317</t>
  </si>
  <si>
    <t>2025-11-19</t>
  </si>
  <si>
    <t>PO-10318</t>
  </si>
  <si>
    <t>2025-01-21</t>
  </si>
  <si>
    <t>2025-04-11</t>
  </si>
  <si>
    <t>PO-10319</t>
  </si>
  <si>
    <t>PO-10320</t>
  </si>
  <si>
    <t>PO-10321</t>
  </si>
  <si>
    <t>PO-10322</t>
  </si>
  <si>
    <t>PO-10323</t>
  </si>
  <si>
    <t>PO-10324</t>
  </si>
  <si>
    <t>PO-10325</t>
  </si>
  <si>
    <t>PO-10326</t>
  </si>
  <si>
    <t>PO-10327</t>
  </si>
  <si>
    <t>2025-02-06</t>
  </si>
  <si>
    <t>PO-10328</t>
  </si>
  <si>
    <t>2025-06-08</t>
  </si>
  <si>
    <t>PO-10329</t>
  </si>
  <si>
    <t>PO-10330</t>
  </si>
  <si>
    <t>PO-10331</t>
  </si>
  <si>
    <t>PO-10332</t>
  </si>
  <si>
    <t>PO-10333</t>
  </si>
  <si>
    <t>PO-10334</t>
  </si>
  <si>
    <t>PO-10335</t>
  </si>
  <si>
    <t>PO-10336</t>
  </si>
  <si>
    <t>PO-10337</t>
  </si>
  <si>
    <t>PO-10338</t>
  </si>
  <si>
    <t>PO-10339</t>
  </si>
  <si>
    <t>PO-10340</t>
  </si>
  <si>
    <t>PO-10341</t>
  </si>
  <si>
    <t>PO-10342</t>
  </si>
  <si>
    <t>2025-05-14</t>
  </si>
  <si>
    <t>PO-10343</t>
  </si>
  <si>
    <t>PO-10344</t>
  </si>
  <si>
    <t>PO-10345</t>
  </si>
  <si>
    <t>PO-10346</t>
  </si>
  <si>
    <t>PO-10347</t>
  </si>
  <si>
    <t>PO-10348</t>
  </si>
  <si>
    <t>PO-10349</t>
  </si>
  <si>
    <t>2025-09-11</t>
  </si>
  <si>
    <t>2026-01-22</t>
  </si>
  <si>
    <t>2026-02-14</t>
  </si>
  <si>
    <t>Milestone</t>
  </si>
  <si>
    <t>Planned_Date</t>
  </si>
  <si>
    <t>Actual_Date</t>
  </si>
  <si>
    <t>Days_Variance</t>
  </si>
  <si>
    <t>Multi_Source_Pct</t>
  </si>
  <si>
    <t>Clean_Launch</t>
  </si>
  <si>
    <t>Design Freeze</t>
  </si>
  <si>
    <t>Complete</t>
  </si>
  <si>
    <t>Pilot Build</t>
  </si>
  <si>
    <t>2025-02-12</t>
  </si>
  <si>
    <t>Factory Readiness</t>
  </si>
  <si>
    <t>2025-03-12</t>
  </si>
  <si>
    <t>Material in Hub</t>
  </si>
  <si>
    <t>2025-04-09</t>
  </si>
  <si>
    <t>In Progress</t>
  </si>
  <si>
    <t>RTS / Launch</t>
  </si>
  <si>
    <t>At Risk</t>
  </si>
  <si>
    <t>Post-Launch Review</t>
  </si>
  <si>
    <t>Not Started</t>
  </si>
  <si>
    <t>2025-01-19</t>
  </si>
  <si>
    <t>2025-02-05</t>
  </si>
  <si>
    <t>2025-01-12</t>
  </si>
  <si>
    <t>2025-03-15</t>
  </si>
  <si>
    <t>2025-01-08</t>
  </si>
  <si>
    <t>2025-04-06</t>
  </si>
  <si>
    <t>2025-03-11</t>
  </si>
  <si>
    <t>2025-01-17</t>
  </si>
  <si>
    <t>2025-03-18</t>
  </si>
  <si>
    <t>On_Time_Delivery_Pct</t>
  </si>
  <si>
    <t>Quality_PPM</t>
  </si>
  <si>
    <t>Lead_Time_Adherence_Pct</t>
  </si>
  <si>
    <t>Avg_Days_Late</t>
  </si>
  <si>
    <t>Open_POs</t>
  </si>
  <si>
    <t>Total_Spend_USD_M</t>
  </si>
  <si>
    <t>Single_Source_Parts</t>
  </si>
  <si>
    <t>Risk_Rating</t>
  </si>
  <si>
    <t>Masrur Supply Chain Analytics</t>
  </si>
  <si>
    <t>Supply Chain Business Review — Interactive Dashboard</t>
  </si>
  <si>
    <t>OVERVIEW</t>
  </si>
  <si>
    <t>This workbook is a fully formula-driven, interactive supply chain dashboard. Every KPI, chart and summary refreshes automatically when you change the slicer cells on the Dashboard tab. No VBA, no macros — only Excel Tables, structured references, SUMIFS / COUNTIFS / AVERAGEIFS / XLOOKUP, and Data Validation dropdowns.</t>
  </si>
  <si>
    <t>SOURCE TABS (DATA)</t>
  </si>
  <si>
    <t>Tab</t>
  </si>
  <si>
    <t>Excel Table</t>
  </si>
  <si>
    <t>What it contains</t>
  </si>
  <si>
    <t>Parts_Master</t>
  </si>
  <si>
    <t>tblParts</t>
  </si>
  <si>
    <t>20 parts: ID, name, supplier, lead time, unit cost, multi-source flag, sourcing risk</t>
  </si>
  <si>
    <t>Demand_Forecast</t>
  </si>
  <si>
    <t>tblForecast</t>
  </si>
  <si>
    <t>~1,560 weekly forecast vs actual rows by Program × Part</t>
  </si>
  <si>
    <t>Inventory_Coverage</t>
  </si>
  <si>
    <t>tblInventory</t>
  </si>
  <si>
    <t>80 part × region rows: on-hand, on-order, burn rate, coverage, shortage risk</t>
  </si>
  <si>
    <t>Purchase_Orders</t>
  </si>
  <si>
    <t>tblPO</t>
  </si>
  <si>
    <t>350 POs: supplier, factory, region, dates, status, on-time flag, total value</t>
  </si>
  <si>
    <t>NPI_Program_Tracker</t>
  </si>
  <si>
    <t>tblNPI</t>
  </si>
  <si>
    <t>120 milestones across 5 programs × 4 regions × 6 milestones</t>
  </si>
  <si>
    <t>Supplier_Scorecard</t>
  </si>
  <si>
    <t>tblSupplier</t>
  </si>
  <si>
    <t>16 suppliers: OTD%, quality PPM, lead-time adherence, spend, risk rating</t>
  </si>
  <si>
    <t>KPI DEFINITIONS</t>
  </si>
  <si>
    <t>KPI</t>
  </si>
  <si>
    <t>What it measures</t>
  </si>
  <si>
    <t>How it is calculated</t>
  </si>
  <si>
    <t>Forecast Accuracy %</t>
  </si>
  <si>
    <t>How close weekly forecasts came to actual demand</t>
  </si>
  <si>
    <t>1 − ( SUM(|Actual − Forecast|) / SUM(Actual) ) over the selected Program &amp; Region scope</t>
  </si>
  <si>
    <t>On-Time Delivery %</t>
  </si>
  <si>
    <t>Share of POs received on or before need-by date</t>
  </si>
  <si>
    <t>COUNTIFS(On_Time=TRUE) / COUNTIFS(all POs) within the slicer scope</t>
  </si>
  <si>
    <t>Avg Days Late</t>
  </si>
  <si>
    <t>Average delay on POs that slipped</t>
  </si>
  <si>
    <t>AVERAGEIFS(Days_Late, Days_Late, "&gt;0") in scope</t>
  </si>
  <si>
    <t>Open PO Value ($M)</t>
  </si>
  <si>
    <t>Dollars at risk in open / in-transit / delayed POs</t>
  </si>
  <si>
    <t>SUMIFS(Total_Value, Status, “not Goods Received”) / 1,000,000</t>
  </si>
  <si>
    <t>Critical+High Shortage Lines</t>
  </si>
  <si>
    <t>Count of part × region inventory positions flagged Critical or High</t>
  </si>
  <si>
    <t>COUNTIFS(Shortage_Risk ∈ {CRITICAL, HIGH}) in scope</t>
  </si>
  <si>
    <t>Clean Launch %</t>
  </si>
  <si>
    <t>Share of NPI program-region rows that hit a clean launch</t>
  </si>
  <si>
    <t>COUNTIFS(Clean_Launch=TRUE) / COUNTIFS(all) in scope</t>
  </si>
  <si>
    <t>Multi-Source Coverage %</t>
  </si>
  <si>
    <t>Share of parts that have more than one qualified supplier</t>
  </si>
  <si>
    <t>COUNTIF(tblParts[Multi_Source], TRUE) / COUNTA(tblParts[Part_ID])</t>
  </si>
  <si>
    <t>FORMULAS &amp; TECHNIQUES USED</t>
  </si>
  <si>
    <t>Technique</t>
  </si>
  <si>
    <t>Where</t>
  </si>
  <si>
    <t>Why</t>
  </si>
  <si>
    <t>Excel Tables + Structured References (e.g. tblPO[Total_Value_USD])</t>
  </si>
  <si>
    <t>All source tabs</t>
  </si>
  <si>
    <t>Ranges auto-expand when you append data — no broken formulas</t>
  </si>
  <si>
    <t>Data Validation (List)</t>
  </si>
  <si>
    <t>Dashboard!C5 (Region), Dashboard!C6 (Program)</t>
  </si>
  <si>
    <t>Creates the dropdown slicers that drive every KPI and chart</t>
  </si>
  <si>
    <t>SUMIFS / COUNTIFS / AVERAGEIFS with wildcard ("*")</t>
  </si>
  <si>
    <t>KPI cards &amp; helper tables</t>
  </si>
  <si>
    <t>A slicer set to “All” passes “*” as the criterion so every row matches</t>
  </si>
  <si>
    <t>IFERROR wrapper</t>
  </si>
  <si>
    <t>Every ratio / percentage KPI</t>
  </si>
  <si>
    <t>Returns 0 instead of #DIV/0! when a slicer combination has no rows</t>
  </si>
  <si>
    <t>XLOOKUP</t>
  </si>
  <si>
    <t>Top suppliers table</t>
  </si>
  <si>
    <t>Pulls supplier metrics by name without hard-coded row numbers</t>
  </si>
  <si>
    <t>LARGE + INDEX/MATCH (ranking)</t>
  </si>
  <si>
    <t>Top 5 / Bottom 5 lists</t>
  </si>
  <si>
    <t>Dynamically ranks suppliers / parts by metric without sorting source</t>
  </si>
  <si>
    <t>Conditional Formatting (data bars, color scales)</t>
  </si>
  <si>
    <t>KPI cards, ranking tables</t>
  </si>
  <si>
    <t>Modern visual cues without extra columns</t>
  </si>
  <si>
    <t>HOW TO USE</t>
  </si>
  <si>
    <t>1.  Open the Dashboard tab.</t>
  </si>
  <si>
    <t>2.  Use the two yellow slicer cells at the top — Region (All / NAM / EMEA / APJ / BRH) and Program (All / Program A…E).</t>
  </si>
  <si>
    <t>3.  Every KPI card, ranking table and chart recalculates instantly.</t>
  </si>
  <si>
    <t>4.  To add new data: paste new rows directly under any source table — the table will auto-expand and the dashboard will pick it up.</t>
  </si>
  <si>
    <t>5.  To replicate this manually: build the 6 source tables, add Instructions &amp; Dashboard sheets, drop the slicer cells with Data Validation, then write the SUMIFS / COUNTIFS / AVERAGEIFS formulas on the Dashboard pointing at the structured-reference columns.</t>
  </si>
  <si>
    <t>NOTES</t>
  </si>
  <si>
    <t>•  No VBA, no macros — 100% native Excel formulas, tables and conditional formatting.</t>
  </si>
  <si>
    <t>•  Nothing is hard-coded — every KPI cell points back to a source table column via structured references.</t>
  </si>
  <si>
    <t>•  Program names (A–E) and Supplier names (1–16) are anonymized placeholders, safe for external demo use.</t>
  </si>
  <si>
    <t>Supply Chain Business Review  •  Interactive Demo Dashboard</t>
  </si>
  <si>
    <t>All</t>
  </si>
  <si>
    <t>Slicer Helpers (used by formulas)</t>
  </si>
  <si>
    <t>Region criterion</t>
  </si>
  <si>
    <t>Program criterion</t>
  </si>
  <si>
    <t>Region list</t>
  </si>
  <si>
    <t>Program list</t>
  </si>
  <si>
    <t>FORECAST ACCURACY</t>
  </si>
  <si>
    <t>ON-TIME DELIVERY</t>
  </si>
  <si>
    <t>AVG DAYS LATE</t>
  </si>
  <si>
    <t>CLEAN LAUNCH %</t>
  </si>
  <si>
    <t>HELPER: Forecast vs Actual by Month</t>
  </si>
  <si>
    <t>Month</t>
  </si>
  <si>
    <t>Forecast</t>
  </si>
  <si>
    <t>Actual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</si>
  <si>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</si>
  <si>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</si>
  <si>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</si>
  <si>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</si>
  <si>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</si>
  <si>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</si>
  <si>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</si>
  <si>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</si>
  <si>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</si>
  <si>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</si>
  <si>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</si>
  <si>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</si>
  <si>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HELPER: PO Status mix</t>
  </si>
  <si>
    <t>Count</t>
  </si>
  <si>
    <t>HELPER: Shortage Risk by Region</t>
  </si>
  <si>
    <t>Low</t>
  </si>
  <si>
    <t>Medium</t>
  </si>
  <si>
    <t>High</t>
  </si>
  <si>
    <t>Critical</t>
  </si>
  <si>
    <t>HELPER: Supplier OTD ranking (sorted desc)</t>
  </si>
  <si>
    <t>Rank</t>
  </si>
  <si>
    <t>OTD %</t>
  </si>
  <si>
    <t>Spend $M</t>
  </si>
  <si>
    <t>Risk</t>
  </si>
  <si>
    <t>HELPER: NPI Milestone Status (filtered)</t>
  </si>
  <si>
    <t>Spend ($M)</t>
  </si>
  <si>
    <t>HELPER: Parts at Risk (lowest coverage)</t>
  </si>
  <si>
    <t>Coverage</t>
  </si>
  <si>
    <t>On Hand</t>
  </si>
  <si>
    <t>Part ID</t>
  </si>
  <si>
    <t>Part Name</t>
  </si>
  <si>
    <t xml:space="preserve">  REGION</t>
  </si>
  <si>
    <t xml:space="preserve">  PROGRAM</t>
  </si>
  <si>
    <t>Tip: change either dropdown — every KPI &amp; chart updates instantly.</t>
  </si>
  <si>
    <t>Weekly forecast vs actual demand variance</t>
  </si>
  <si>
    <t>POs received on/before need-by date</t>
  </si>
  <si>
    <t>Average slip on POs that ran late</t>
  </si>
  <si>
    <t>OPEN PO VALUE</t>
  </si>
  <si>
    <t>Dollars in-flight (Open / In Transit / Delayed)</t>
  </si>
  <si>
    <t>SHORTAGE ALERTS</t>
  </si>
  <si>
    <t>Critical + High shortage positions</t>
  </si>
  <si>
    <t>NPI milestones hitting a clean launch</t>
  </si>
  <si>
    <t>DEMAND  —  Forecast vs Actual (monthly)</t>
  </si>
  <si>
    <t>PROCUREMENT  —  Purchase Order status</t>
  </si>
  <si>
    <t>TOP 5 SUPPLIERS  —  On-Time Delivery</t>
  </si>
  <si>
    <t>TOP 5 PARTS AT RISK  —  Lowest Coverage</t>
  </si>
  <si>
    <t>INVENTORY  —  Shortage Risk by Region</t>
  </si>
  <si>
    <t>SUPPLIERS  —  On-Time Delivery ranking</t>
  </si>
  <si>
    <t>Edit any source tab — the tables auto-expand and every KPI / chart updates instantly.  No VBA, no macros.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</si>
</sst>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&quot; days&quot;"/>
    <numFmt numFmtId="166" formatCode="&quot;$&quot;#,##0.0&quot;M&quot;"/>
    <numFmt numFmtId="167" formatCode="&quot;$&quot;#,##0.0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24"/>
      <color rgb="FF1F3A68"/>
      <name val="Calibri"/>
      <scheme val="minor"/>
    </font>
    <font>
      <sz val="12"/>
      <color rgb="FF5A6B82"/>
      <name val="Calibri"/>
      <scheme val="minor"/>
    </font>
    <font>
      <b/>
      <sz val="12"/>
      <color rgb="FFFFFFFF"/>
      <name val="Calibri"/>
      <scheme val="minor"/>
    </font>
    <font>
      <b/>
      <sz val="11"/>
      <color rgb="FF1F3A68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2"/>
      <color rgb="FF1F2937"/>
      <name val="Calibri"/>
      <scheme val="minor"/>
    </font>
    <font>
      <sz val="11"/>
      <color rgb="FF1F2937"/>
      <name val="Calibri"/>
      <scheme val="minor"/>
    </font>
    <font>
      <b/>
      <sz val="10"/>
      <color rgb="FFFFFFFF"/>
      <name val="Calibri"/>
      <family val="2"/>
      <scheme val="minor"/>
    </font>
    <font>
      <i/>
      <sz val="10"/>
      <color rgb="FF5A6B82"/>
      <name val="Calibri"/>
      <family val="2"/>
      <scheme val="minor"/>
    </font>
    <font>
      <b/>
      <sz val="22"/>
      <color rgb="FFFFFFFF"/>
      <name val="Calibri"/>
      <scheme val="minor"/>
    </font>
    <font>
      <sz val="11"/>
      <color rgb="FF9FB3D1"/>
      <name val="Calibri"/>
      <scheme val="minor"/>
    </font>
    <font>
      <b/>
      <sz val="12"/>
      <color rgb="FF0F2C4D"/>
      <name val="Calibri"/>
      <family val="2"/>
      <scheme val="minor"/>
    </font>
    <font>
      <b/>
      <sz val="10"/>
      <color rgb="FF5A6B82"/>
      <name val="Calibri"/>
      <scheme val="minor"/>
    </font>
    <font>
      <b/>
      <sz val="28"/>
      <color rgb="FF0F2C4D"/>
      <name val="Calibri"/>
      <scheme val="minor"/>
    </font>
    <font>
      <i/>
      <sz val="9"/>
      <color rgb="FF8694AB"/>
      <name val="Calibri"/>
      <scheme val="minor"/>
    </font>
    <font>
      <b/>
      <sz val="28"/>
      <color rgb="FFE07A1A"/>
      <name val="Calibri"/>
      <scheme val="minor"/>
    </font>
    <font>
      <b/>
      <sz val="28"/>
      <color rgb="FFC0392B"/>
      <name val="Calibri"/>
      <scheme val="minor"/>
    </font>
    <font>
      <b/>
      <sz val="28"/>
      <color rgb="FF2D7A3F"/>
      <name val="Calibri"/>
      <scheme val="minor"/>
    </font>
    <font>
      <b/>
      <sz val="11"/>
      <color rgb="FF0F2C4D"/>
      <name val="Calibri"/>
      <scheme val="minor"/>
    </font>
    <font>
      <sz val="11"/>
      <color rgb="FF0F2C4D"/>
      <name val="Calibri"/>
      <scheme val="minor"/>
    </font>
    <font>
      <b/>
      <sz val="11"/>
      <color rgb="FFC0392B"/>
      <name val="Calibri"/>
      <scheme val="minor"/>
    </font>
    <font>
      <i/>
      <sz val="10"/>
      <color rgb="FF8694AB"/>
      <name val="Calibri"/>
      <scheme val="minor"/>
    </font>
    <font>
      <b/>
      <sz val="9"/>
      <color rgb="FFD1D5DB"/>
      <name val="Calibri"/>
      <family val="2"/>
      <scheme val="minor"/>
    </font>
    <font>
      <sz val="9"/>
      <color rgb="FFD1D5DB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A68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6FA"/>
        <bgColor indexed="64"/>
      </patternFill>
    </fill>
    <fill>
      <patternFill patternType="solid">
        <fgColor rgb="FF0F2C4D"/>
        <bgColor indexed="64"/>
      </patternFill>
    </fill>
    <fill>
      <patternFill patternType="solid">
        <fgColor rgb="FFF8FAFD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1F3A68"/>
      </bottom>
      <diagonal/>
    </border>
    <border>
      <left style="medium">
        <color rgb="FF1AA7A0"/>
      </left>
      <right style="medium">
        <color rgb="FF1AA7A0"/>
      </right>
      <top style="medium">
        <color rgb="FF1AA7A0"/>
      </top>
      <bottom style="medium">
        <color rgb="FF1AA7A0"/>
      </bottom>
      <diagonal/>
    </border>
    <border>
      <left/>
      <right/>
      <top style="thin">
        <color rgb="FFD9DEE8"/>
      </top>
      <bottom/>
      <diagonal/>
    </border>
    <border>
      <left/>
      <right/>
      <top/>
      <bottom style="thin">
        <color rgb="FFD9DEE8"/>
      </bottom>
      <diagonal/>
    </border>
    <border>
      <left style="thin">
        <color rgb="FFD9DEE8"/>
      </left>
      <right/>
      <top style="thin">
        <color rgb="FFD9DEE8"/>
      </top>
      <bottom/>
      <diagonal/>
    </border>
    <border>
      <left style="thin">
        <color rgb="FFD9DEE8"/>
      </left>
      <right/>
      <top/>
      <bottom/>
      <diagonal/>
    </border>
    <border>
      <left style="thin">
        <color rgb="FFD9DEE8"/>
      </left>
      <right/>
      <top/>
      <bottom style="thin">
        <color rgb="FFD9DEE8"/>
      </bottom>
      <diagonal/>
    </border>
    <border>
      <left/>
      <right style="thin">
        <color rgb="FFD9DEE8"/>
      </right>
      <top style="thin">
        <color rgb="FFD9DEE8"/>
      </top>
      <bottom/>
      <diagonal/>
    </border>
    <border>
      <left/>
      <right style="thin">
        <color rgb="FFD9DEE8"/>
      </right>
      <top/>
      <bottom/>
      <diagonal/>
    </border>
    <border>
      <left/>
      <right style="thin">
        <color rgb="FFD9DEE8"/>
      </right>
      <top/>
      <bottom style="thin">
        <color rgb="FFD9DEE8"/>
      </bottom>
      <diagonal/>
    </border>
    <border>
      <left style="thick">
        <color rgb="FF1AA7A0"/>
      </left>
      <right/>
      <top style="thin">
        <color rgb="FFD9DEE8"/>
      </top>
      <bottom/>
      <diagonal/>
    </border>
    <border>
      <left style="thick">
        <color rgb="FF1AA7A0"/>
      </left>
      <right/>
      <top/>
      <bottom/>
      <diagonal/>
    </border>
    <border>
      <left style="thick">
        <color rgb="FF1AA7A0"/>
      </left>
      <right/>
      <top/>
      <bottom style="thin">
        <color rgb="FFD9DEE8"/>
      </bottom>
      <diagonal/>
    </border>
    <border>
      <left style="thick">
        <color rgb="FFE07A1A"/>
      </left>
      <right/>
      <top style="thin">
        <color rgb="FFD9DEE8"/>
      </top>
      <bottom/>
      <diagonal/>
    </border>
    <border>
      <left style="thick">
        <color rgb="FFE07A1A"/>
      </left>
      <right/>
      <top/>
      <bottom/>
      <diagonal/>
    </border>
    <border>
      <left style="thick">
        <color rgb="FFE07A1A"/>
      </left>
      <right/>
      <top/>
      <bottom style="thin">
        <color rgb="FFD9DEE8"/>
      </bottom>
      <diagonal/>
    </border>
    <border>
      <left style="thick">
        <color rgb="FFC0392B"/>
      </left>
      <right/>
      <top style="thin">
        <color rgb="FFD9DEE8"/>
      </top>
      <bottom/>
      <diagonal/>
    </border>
    <border>
      <left style="thick">
        <color rgb="FFC0392B"/>
      </left>
      <right/>
      <top/>
      <bottom/>
      <diagonal/>
    </border>
    <border>
      <left style="thick">
        <color rgb="FFC0392B"/>
      </left>
      <right/>
      <top/>
      <bottom style="thin">
        <color rgb="FFD9DEE8"/>
      </bottom>
      <diagonal/>
    </border>
    <border>
      <left style="thick">
        <color rgb="FF2D7A3F"/>
      </left>
      <right/>
      <top style="thin">
        <color rgb="FFD9DEE8"/>
      </top>
      <bottom/>
      <diagonal/>
    </border>
    <border>
      <left style="thick">
        <color rgb="FF2D7A3F"/>
      </left>
      <right/>
      <top/>
      <bottom/>
      <diagonal/>
    </border>
    <border>
      <left style="thick">
        <color rgb="FF2D7A3F"/>
      </left>
      <right/>
      <top/>
      <bottom style="thin">
        <color rgb="FFD9DEE8"/>
      </bottom>
      <diagonal/>
    </border>
    <border>
      <left/>
      <right/>
      <top/>
      <bottom style="medium">
        <color rgb="FF1AA7A0"/>
      </bottom>
      <diagonal/>
    </border>
    <border>
      <left style="thin">
        <color rgb="FFD9DEE8"/>
      </left>
      <right/>
      <top style="thin">
        <color rgb="FFD9DEE8"/>
      </top>
      <bottom style="thin">
        <color rgb="FFEEF1F6"/>
      </bottom>
      <diagonal/>
    </border>
    <border>
      <left/>
      <right/>
      <top style="thin">
        <color rgb="FFD9DEE8"/>
      </top>
      <bottom style="thin">
        <color rgb="FFEEF1F6"/>
      </bottom>
      <diagonal/>
    </border>
    <border>
      <left/>
      <right style="thin">
        <color rgb="FFD9DEE8"/>
      </right>
      <top style="thin">
        <color rgb="FFD9DEE8"/>
      </top>
      <bottom style="thin">
        <color rgb="FFEEF1F6"/>
      </bottom>
      <diagonal/>
    </border>
    <border>
      <left style="thin">
        <color rgb="FFD9DEE8"/>
      </left>
      <right/>
      <top style="thin">
        <color rgb="FFEEF1F6"/>
      </top>
      <bottom style="thin">
        <color rgb="FFEEF1F6"/>
      </bottom>
      <diagonal/>
    </border>
    <border>
      <left/>
      <right/>
      <top style="thin">
        <color rgb="FFEEF1F6"/>
      </top>
      <bottom style="thin">
        <color rgb="FFEEF1F6"/>
      </bottom>
      <diagonal/>
    </border>
    <border>
      <left/>
      <right style="thin">
        <color rgb="FFD9DEE8"/>
      </right>
      <top style="thin">
        <color rgb="FFEEF1F6"/>
      </top>
      <bottom style="thin">
        <color rgb="FFEEF1F6"/>
      </bottom>
      <diagonal/>
    </border>
    <border>
      <left style="thin">
        <color rgb="FFD9DEE8"/>
      </left>
      <right/>
      <top style="thin">
        <color rgb="FFEEF1F6"/>
      </top>
      <bottom style="thin">
        <color rgb="FFD9DEE8"/>
      </bottom>
      <diagonal/>
    </border>
    <border>
      <left/>
      <right/>
      <top style="thin">
        <color rgb="FFEEF1F6"/>
      </top>
      <bottom style="thin">
        <color rgb="FFD9DEE8"/>
      </bottom>
      <diagonal/>
    </border>
    <border>
      <left/>
      <right style="thin">
        <color rgb="FFD9DEE8"/>
      </right>
      <top style="thin">
        <color rgb="FFEEF1F6"/>
      </top>
      <bottom style="thin">
        <color rgb="FFD9DEE8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0" fillId="6" borderId="0" xfId="0" applyFill="1"/>
    <xf numFmtId="0" fontId="0" fillId="5" borderId="0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8" fillId="7" borderId="24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20" fillId="5" borderId="27" xfId="0" applyFont="1" applyFill="1" applyBorder="1" applyAlignment="1">
      <alignment horizontal="center" vertical="center"/>
    </xf>
    <xf numFmtId="0" fontId="20" fillId="5" borderId="28" xfId="0" applyFont="1" applyFill="1" applyBorder="1" applyAlignment="1">
      <alignment horizontal="center" vertical="center"/>
    </xf>
    <xf numFmtId="164" fontId="20" fillId="5" borderId="28" xfId="0" applyNumberFormat="1" applyFont="1" applyFill="1" applyBorder="1" applyAlignment="1">
      <alignment horizontal="center" vertical="center"/>
    </xf>
    <xf numFmtId="167" fontId="20" fillId="5" borderId="28" xfId="0" applyNumberFormat="1" applyFont="1" applyFill="1" applyBorder="1" applyAlignment="1">
      <alignment horizontal="center" vertical="center"/>
    </xf>
    <xf numFmtId="0" fontId="19" fillId="5" borderId="29" xfId="0" applyFont="1" applyFill="1" applyBorder="1" applyAlignment="1">
      <alignment horizontal="center" vertical="center"/>
    </xf>
    <xf numFmtId="0" fontId="20" fillId="5" borderId="30" xfId="0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4" fontId="20" fillId="5" borderId="31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/>
    </xf>
    <xf numFmtId="0" fontId="20" fillId="8" borderId="27" xfId="0" applyFont="1" applyFill="1" applyBorder="1" applyAlignment="1">
      <alignment horizontal="center" vertical="center"/>
    </xf>
    <xf numFmtId="0" fontId="20" fillId="8" borderId="28" xfId="0" applyFont="1" applyFill="1" applyBorder="1" applyAlignment="1">
      <alignment horizontal="center" vertical="center"/>
    </xf>
    <xf numFmtId="164" fontId="20" fillId="8" borderId="28" xfId="0" applyNumberFormat="1" applyFont="1" applyFill="1" applyBorder="1" applyAlignment="1">
      <alignment horizontal="center" vertical="center"/>
    </xf>
    <xf numFmtId="167" fontId="20" fillId="8" borderId="28" xfId="0" applyNumberFormat="1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3" fontId="20" fillId="5" borderId="28" xfId="0" applyNumberFormat="1" applyFont="1" applyFill="1" applyBorder="1" applyAlignment="1">
      <alignment horizontal="center" vertical="center"/>
    </xf>
    <xf numFmtId="168" fontId="20" fillId="5" borderId="28" xfId="0" applyNumberFormat="1" applyFont="1" applyFill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3" fontId="20" fillId="5" borderId="31" xfId="0" applyNumberFormat="1" applyFont="1" applyFill="1" applyBorder="1" applyAlignment="1">
      <alignment horizontal="center" vertical="center"/>
    </xf>
    <xf numFmtId="168" fontId="20" fillId="5" borderId="31" xfId="0" applyNumberFormat="1" applyFont="1" applyFill="1" applyBorder="1" applyAlignment="1">
      <alignment horizontal="center" vertical="center"/>
    </xf>
    <xf numFmtId="0" fontId="21" fillId="5" borderId="32" xfId="0" applyFont="1" applyFill="1" applyBorder="1" applyAlignment="1">
      <alignment horizontal="center" vertical="center"/>
    </xf>
    <xf numFmtId="3" fontId="20" fillId="8" borderId="28" xfId="0" applyNumberFormat="1" applyFont="1" applyFill="1" applyBorder="1" applyAlignment="1">
      <alignment horizontal="center" vertical="center"/>
    </xf>
    <xf numFmtId="168" fontId="20" fillId="8" borderId="28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0" fontId="23" fillId="6" borderId="0" xfId="0" applyFont="1" applyFill="1"/>
    <xf numFmtId="0" fontId="24" fillId="6" borderId="0" xfId="0" applyFont="1" applyFill="1"/>
    <xf numFmtId="0" fontId="22" fillId="6" borderId="0" xfId="0" applyFont="1" applyFill="1" applyAlignment="1">
      <alignment horizontal="center" vertical="center"/>
    </xf>
    <xf numFmtId="0" fontId="0" fillId="6" borderId="0" xfId="0" applyFill="1"/>
    <xf numFmtId="164" fontId="18" fillId="5" borderId="21" xfId="0" applyNumberFormat="1" applyFont="1" applyFill="1" applyBorder="1" applyAlignment="1">
      <alignment horizontal="left" vertical="center" indent="1"/>
    </xf>
    <xf numFmtId="0" fontId="0" fillId="5" borderId="0" xfId="0" applyFill="1" applyBorder="1"/>
    <xf numFmtId="0" fontId="0" fillId="5" borderId="9" xfId="0" applyFill="1" applyBorder="1"/>
    <xf numFmtId="0" fontId="15" fillId="5" borderId="21" xfId="0" applyFont="1" applyFill="1" applyBorder="1" applyAlignment="1">
      <alignment horizontal="left" vertical="center" indent="1"/>
    </xf>
    <xf numFmtId="0" fontId="0" fillId="5" borderId="22" xfId="0" applyFill="1" applyBorder="1"/>
    <xf numFmtId="0" fontId="0" fillId="5" borderId="4" xfId="0" applyFill="1" applyBorder="1"/>
    <xf numFmtId="0" fontId="0" fillId="5" borderId="10" xfId="0" applyFill="1" applyBorder="1"/>
    <xf numFmtId="0" fontId="19" fillId="6" borderId="23" xfId="0" applyFont="1" applyFill="1" applyBorder="1" applyAlignment="1">
      <alignment horizontal="left" vertical="center" indent="1"/>
    </xf>
    <xf numFmtId="0" fontId="19" fillId="6" borderId="0" xfId="0" applyFont="1" applyFill="1" applyBorder="1" applyAlignment="1">
      <alignment horizontal="left" vertical="center" indent="1"/>
    </xf>
    <xf numFmtId="165" fontId="16" fillId="5" borderId="15" xfId="0" applyNumberFormat="1" applyFont="1" applyFill="1" applyBorder="1" applyAlignment="1">
      <alignment horizontal="left" vertical="center" indent="1"/>
    </xf>
    <xf numFmtId="0" fontId="15" fillId="5" borderId="15" xfId="0" applyFont="1" applyFill="1" applyBorder="1" applyAlignment="1">
      <alignment horizontal="left" vertical="center" indent="1"/>
    </xf>
    <xf numFmtId="0" fontId="0" fillId="5" borderId="16" xfId="0" applyFill="1" applyBorder="1"/>
    <xf numFmtId="0" fontId="13" fillId="5" borderId="11" xfId="0" applyFont="1" applyFill="1" applyBorder="1" applyAlignment="1">
      <alignment horizontal="left" vertical="center" indent="1"/>
    </xf>
    <xf numFmtId="0" fontId="0" fillId="5" borderId="3" xfId="0" applyFill="1" applyBorder="1"/>
    <xf numFmtId="166" fontId="14" fillId="5" borderId="12" xfId="0" applyNumberFormat="1" applyFont="1" applyFill="1" applyBorder="1" applyAlignment="1">
      <alignment horizontal="left" vertical="center" indent="1"/>
    </xf>
    <xf numFmtId="0" fontId="15" fillId="5" borderId="12" xfId="0" applyFont="1" applyFill="1" applyBorder="1" applyAlignment="1">
      <alignment horizontal="left" vertical="center" indent="1"/>
    </xf>
    <xf numFmtId="0" fontId="13" fillId="5" borderId="17" xfId="0" applyFont="1" applyFill="1" applyBorder="1" applyAlignment="1">
      <alignment horizontal="left" vertical="center" indent="1"/>
    </xf>
    <xf numFmtId="1" fontId="17" fillId="5" borderId="18" xfId="0" applyNumberFormat="1" applyFont="1" applyFill="1" applyBorder="1" applyAlignment="1">
      <alignment horizontal="left" vertical="center" indent="1"/>
    </xf>
    <xf numFmtId="0" fontId="15" fillId="5" borderId="18" xfId="0" applyFont="1" applyFill="1" applyBorder="1" applyAlignment="1">
      <alignment horizontal="left" vertical="center" indent="1"/>
    </xf>
    <xf numFmtId="0" fontId="13" fillId="5" borderId="20" xfId="0" applyFont="1" applyFill="1" applyBorder="1" applyAlignment="1">
      <alignment horizontal="left" vertical="center" indent="1"/>
    </xf>
    <xf numFmtId="0" fontId="0" fillId="5" borderId="8" xfId="0" applyFill="1" applyBorder="1"/>
    <xf numFmtId="164" fontId="14" fillId="5" borderId="12" xfId="0" applyNumberFormat="1" applyFont="1" applyFill="1" applyBorder="1" applyAlignment="1">
      <alignment horizontal="left" vertical="center" indent="1"/>
    </xf>
    <xf numFmtId="0" fontId="0" fillId="5" borderId="13" xfId="0" applyFill="1" applyBorder="1"/>
    <xf numFmtId="0" fontId="8" fillId="7" borderId="0" xfId="0" applyFont="1" applyFill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right" vertical="center"/>
    </xf>
    <xf numFmtId="0" fontId="13" fillId="5" borderId="14" xfId="0" applyFont="1" applyFill="1" applyBorder="1" applyAlignment="1">
      <alignment horizontal="left" vertical="center" indent="1"/>
    </xf>
    <xf numFmtId="0" fontId="0" fillId="5" borderId="19" xfId="0" applyFill="1" applyBorder="1"/>
    <xf numFmtId="0" fontId="10" fillId="7" borderId="0" xfId="0" applyFont="1" applyFill="1" applyAlignment="1">
      <alignment horizontal="left" vertical="center" indent="1"/>
    </xf>
    <xf numFmtId="0" fontId="11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F2C4D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Forecast vs Actual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F2C4D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Dashboard!$AC$14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rgbClr val="9FB3D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Dashboard!$AB$15:$AB$26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Dashboard!$AC$15:$AC$26</c:f>
              <c:numCache>
                <c:formatCode>General</c:formatCode>
                <c:ptCount val="12"/>
                <c:pt idx="0">
                  <c:v>6472</c:v>
                </c:pt>
                <c:pt idx="1">
                  <c:v>7472</c:v>
                </c:pt>
                <c:pt idx="2">
                  <c:v>10435</c:v>
                </c:pt>
                <c:pt idx="3">
                  <c:v>9509</c:v>
                </c:pt>
                <c:pt idx="4">
                  <c:v>10428</c:v>
                </c:pt>
                <c:pt idx="5">
                  <c:v>14408</c:v>
                </c:pt>
                <c:pt idx="6">
                  <c:v>12403</c:v>
                </c:pt>
                <c:pt idx="7">
                  <c:v>13469</c:v>
                </c:pt>
                <c:pt idx="8">
                  <c:v>18079</c:v>
                </c:pt>
                <c:pt idx="9">
                  <c:v>15380</c:v>
                </c:pt>
                <c:pt idx="10">
                  <c:v>15303</c:v>
                </c:pt>
                <c:pt idx="11">
                  <c:v>19153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0-44DF-884D-EEA0E9627F04}"/>
            </c:ext>
          </c:extLst>
        </c:ser>
        <c:ser>
          <c:idx val="1"/>
          <c:order val="1"/>
          <c:tx>
            <c:strRef>
              <c:f>Dashboard!$AD$14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1AA7A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Dashboard!$AB$15:$AB$26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Dashboard!$AD$15:$AD$26</c:f>
              <c:numCache>
                <c:formatCode>General</c:formatCode>
                <c:ptCount val="12"/>
                <c:pt idx="0">
                  <c:v>6393</c:v>
                </c:pt>
                <c:pt idx="1">
                  <c:v>7472</c:v>
                </c:pt>
                <c:pt idx="2">
                  <c:v>10660</c:v>
                </c:pt>
                <c:pt idx="3">
                  <c:v>9409</c:v>
                </c:pt>
                <c:pt idx="4">
                  <c:v>10055</c:v>
                </c:pt>
                <c:pt idx="5">
                  <c:v>12888</c:v>
                </c:pt>
                <c:pt idx="6">
                  <c:v>12241</c:v>
                </c:pt>
                <c:pt idx="7">
                  <c:v>13137</c:v>
                </c:pt>
                <c:pt idx="8">
                  <c:v>18256</c:v>
                </c:pt>
                <c:pt idx="9">
                  <c:v>15186</c:v>
                </c:pt>
                <c:pt idx="10">
                  <c:v>15476</c:v>
                </c:pt>
                <c:pt idx="11">
                  <c:v>19163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0-44DF-884D-EEA0E9627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23568"/>
        <c:axId val="328133168"/>
      </c:lineChart>
      <c:catAx>
        <c:axId val="32812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A6B8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33168"/>
        <c:crosses val="autoZero"/>
        <c:auto val="1"/>
        <c:lblAlgn val="ctr"/>
        <c:lblOffset val="100"/>
        <c:noMultiLvlLbl val="0"/>
      </c:catAx>
      <c:valAx>
        <c:axId val="3281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A6B8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2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F2C4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F2C4D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Purchase 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F2C4D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Dashboard!$AC$29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1AA7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32-4F97-8CEE-8D406E016813}"/>
              </c:ext>
            </c:extLst>
          </c:dPt>
          <c:dPt>
            <c:idx val="1"/>
            <c:bubble3D val="0"/>
            <c:spPr>
              <a:solidFill>
                <a:srgbClr val="3D7D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A32-4F97-8CEE-8D406E016813}"/>
              </c:ext>
            </c:extLst>
          </c:dPt>
          <c:dPt>
            <c:idx val="2"/>
            <c:bubble3D val="0"/>
            <c:spPr>
              <a:solidFill>
                <a:srgbClr val="E07A1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32-4F97-8CEE-8D406E016813}"/>
              </c:ext>
            </c:extLst>
          </c:dPt>
          <c:dPt>
            <c:idx val="3"/>
            <c:bubble3D val="0"/>
            <c:spPr>
              <a:solidFill>
                <a:srgbClr val="2D7A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A32-4F97-8CEE-8D406E016813}"/>
              </c:ext>
            </c:extLst>
          </c:dPt>
          <c:cat>
            <c:strRef>
              <c:f>Dashboard!$AB$30:$AB$33</c:f>
              <c:strCache>
                <c:ptCount val="4"/>
                <c:pt idx="0">
                  <c:v>Open</c:v>
                </c:pt>
                <c:pt idx="1">
                  <c:v>In Transit</c:v>
                </c:pt>
                <c:pt idx="2">
                  <c:v>Delayed</c:v>
                </c:pt>
                <c:pt idx="3">
                  <c:v>Goods Received</c:v>
                </c:pt>
              </c:strCache>
            </c:strRef>
          </c:cat>
          <c:val>
            <c:numRef>
              <c:f>Dashboard!$AC$30:$AC$33</c:f>
              <c:numCache>
                <c:formatCode>General</c:formatCode>
                <c:ptCount val="4"/>
                <c:pt idx="0">
                  <c:v>80</c:v>
                </c:pt>
                <c:pt idx="1">
                  <c:v>104</c:v>
                </c:pt>
                <c:pt idx="2">
                  <c:v>68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2-4F97-8CEE-8D406E016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F2C4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F2C4D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Supplier On-Time Delivery (ranked)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F2C4D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Dashboard!$AD$43</c:f>
              <c:strCache>
                <c:ptCount val="1"/>
                <c:pt idx="0">
                  <c:v>OTD %</c:v>
                </c:pt>
              </c:strCache>
            </c:strRef>
          </c:tx>
          <c:spPr>
            <a:solidFill>
              <a:srgbClr val="1AA7A0"/>
            </a:solidFill>
            <a:ln>
              <a:noFill/>
            </a:ln>
            <a:effectLst/>
          </c:spPr>
          <c:invertIfNegative val="0"/>
          <c:cat>
            <c:strRef>
              <c:f>Dashboard!$AC$44:$AC$59</c:f>
              <c:strCache>
                <c:ptCount val="16"/>
                <c:pt idx="0">
                  <c:v>Supplier 13</c:v>
                </c:pt>
                <c:pt idx="1">
                  <c:v>Supplier 4</c:v>
                </c:pt>
                <c:pt idx="2">
                  <c:v>Supplier 2</c:v>
                </c:pt>
                <c:pt idx="3">
                  <c:v>Supplier 1</c:v>
                </c:pt>
                <c:pt idx="4">
                  <c:v>Supplier 9</c:v>
                </c:pt>
                <c:pt idx="5">
                  <c:v>Supplier 5</c:v>
                </c:pt>
                <c:pt idx="6">
                  <c:v>Supplier 12</c:v>
                </c:pt>
                <c:pt idx="7">
                  <c:v>Supplier 16</c:v>
                </c:pt>
                <c:pt idx="8">
                  <c:v>Supplier 15</c:v>
                </c:pt>
                <c:pt idx="9">
                  <c:v>Supplier 11</c:v>
                </c:pt>
                <c:pt idx="10">
                  <c:v>Supplier 10</c:v>
                </c:pt>
                <c:pt idx="11">
                  <c:v>Supplier 7</c:v>
                </c:pt>
                <c:pt idx="12">
                  <c:v>Supplier 8</c:v>
                </c:pt>
                <c:pt idx="13">
                  <c:v>Supplier 6</c:v>
                </c:pt>
                <c:pt idx="14">
                  <c:v>Supplier 14</c:v>
                </c:pt>
                <c:pt idx="15">
                  <c:v>Supplier 3</c:v>
                </c:pt>
              </c:strCache>
            </c:strRef>
          </c:cat>
          <c:val>
            <c:numRef>
              <c:f>Dashboard!$AD$44:$AD$59</c:f>
              <c:numCache>
                <c:formatCode>General</c:formatCode>
                <c:ptCount val="16"/>
                <c:pt idx="0">
                  <c:v>0.96099999999999997</c:v>
                </c:pt>
                <c:pt idx="1">
                  <c:v>0.95099999999999996</c:v>
                </c:pt>
                <c:pt idx="2">
                  <c:v>0.91599999999999993</c:v>
                </c:pt>
                <c:pt idx="3">
                  <c:v>0.91400000000000003</c:v>
                </c:pt>
                <c:pt idx="4">
                  <c:v>0.91099999999999992</c:v>
                </c:pt>
                <c:pt idx="5">
                  <c:v>0.90300000000000002</c:v>
                </c:pt>
                <c:pt idx="6">
                  <c:v>0.87</c:v>
                </c:pt>
                <c:pt idx="7">
                  <c:v>0.85400000000000009</c:v>
                </c:pt>
                <c:pt idx="8">
                  <c:v>0.84900000000000009</c:v>
                </c:pt>
                <c:pt idx="9">
                  <c:v>0.84299999999999997</c:v>
                </c:pt>
                <c:pt idx="10">
                  <c:v>0.82900000000000007</c:v>
                </c:pt>
                <c:pt idx="11">
                  <c:v>0.81799999999999995</c:v>
                </c:pt>
                <c:pt idx="12">
                  <c:v>0.79700000000000004</c:v>
                </c:pt>
                <c:pt idx="13">
                  <c:v>0.77800000000000002</c:v>
                </c:pt>
                <c:pt idx="14">
                  <c:v>0.77300000000000002</c:v>
                </c:pt>
                <c:pt idx="15">
                  <c:v>0.72599999999999998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E-433D-9C19-4173751C7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8123088"/>
        <c:axId val="328131728"/>
      </c:barChart>
      <c:catAx>
        <c:axId val="32812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A6B8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31728"/>
        <c:crosses val="autoZero"/>
        <c:auto val="1"/>
        <c:lblAlgn val="ctr"/>
        <c:lblOffset val="100"/>
        <c:noMultiLvlLbl val="0"/>
      </c:catAx>
      <c:valAx>
        <c:axId val="32813172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A6B8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2308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F2C4D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Inventory Shortage Risk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F2C4D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Dashboard!$AC$36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2D7A3F"/>
            </a:solidFill>
            <a:ln>
              <a:noFill/>
            </a:ln>
            <a:effectLst/>
          </c:spPr>
          <c:invertIfNegative val="0"/>
          <c:cat>
            <c:strRef>
              <c:f>Dashboard!$AB$37:$AB$40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APJ</c:v>
                </c:pt>
                <c:pt idx="3">
                  <c:v>BRH</c:v>
                </c:pt>
              </c:strCache>
            </c:strRef>
          </c:cat>
          <c:val>
            <c:numRef>
              <c:f>Dashboard!$AC$37:$AC$40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A-4668-B898-A19E75019332}"/>
            </c:ext>
          </c:extLst>
        </c:ser>
        <c:ser>
          <c:idx val="1"/>
          <c:order val="1"/>
          <c:tx>
            <c:strRef>
              <c:f>Dashboard!$AD$36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E0A82E"/>
            </a:solidFill>
            <a:ln>
              <a:noFill/>
            </a:ln>
            <a:effectLst/>
          </c:spPr>
          <c:invertIfNegative val="0"/>
          <c:cat>
            <c:strRef>
              <c:f>Dashboard!$AB$37:$AB$40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APJ</c:v>
                </c:pt>
                <c:pt idx="3">
                  <c:v>BRH</c:v>
                </c:pt>
              </c:strCache>
            </c:strRef>
          </c:cat>
          <c:val>
            <c:numRef>
              <c:f>Dashboard!$AD$37:$AD$40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A-4668-B898-A19E75019332}"/>
            </c:ext>
          </c:extLst>
        </c:ser>
        <c:ser>
          <c:idx val="2"/>
          <c:order val="2"/>
          <c:tx>
            <c:strRef>
              <c:f>Dashboard!$AE$36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07A1A"/>
            </a:solidFill>
            <a:ln>
              <a:noFill/>
            </a:ln>
            <a:effectLst/>
          </c:spPr>
          <c:invertIfNegative val="0"/>
          <c:cat>
            <c:strRef>
              <c:f>Dashboard!$AB$37:$AB$40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APJ</c:v>
                </c:pt>
                <c:pt idx="3">
                  <c:v>BRH</c:v>
                </c:pt>
              </c:strCache>
            </c:strRef>
          </c:cat>
          <c:val>
            <c:numRef>
              <c:f>Dashboard!$AE$37:$AE$40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BA-4668-B898-A19E75019332}"/>
            </c:ext>
          </c:extLst>
        </c:ser>
        <c:ser>
          <c:idx val="3"/>
          <c:order val="3"/>
          <c:tx>
            <c:strRef>
              <c:f>Dashboard!$AF$36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392B"/>
            </a:solidFill>
            <a:ln>
              <a:noFill/>
            </a:ln>
            <a:effectLst/>
          </c:spPr>
          <c:invertIfNegative val="0"/>
          <c:cat>
            <c:strRef>
              <c:f>Dashboard!$AB$37:$AB$40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APJ</c:v>
                </c:pt>
                <c:pt idx="3">
                  <c:v>BRH</c:v>
                </c:pt>
              </c:strCache>
            </c:strRef>
          </c:cat>
          <c:val>
            <c:numRef>
              <c:f>Dashboard!$AF$37:$AF$40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BA-4668-B898-A19E75019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012256"/>
        <c:axId val="57018016"/>
      </c:barChart>
      <c:catAx>
        <c:axId val="570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F2C4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8016"/>
        <c:crosses val="autoZero"/>
        <c:auto val="1"/>
        <c:lblAlgn val="ctr"/>
        <c:lblOffset val="100"/>
        <c:noMultiLvlLbl val="0"/>
      </c:catAx>
      <c:valAx>
        <c:axId val="570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A6B8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F2C4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203199</xdr:colOff>
      <xdr:row>18</xdr:row>
      <xdr:rowOff>0</xdr:rowOff>
    </xdr:from>
    <xdr:to>
      <xdr:col>6</xdr:col>
      <xdr:colOff>888999</xdr:colOff>
      <xdr:row>30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BCDEF9-3710-AED4-7042-6C3E53422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888999</xdr:colOff>
      <xdr:row>18</xdr:row>
      <xdr:rowOff>0</xdr:rowOff>
    </xdr:from>
    <xdr:to>
      <xdr:col>12</xdr:col>
      <xdr:colOff>888999</xdr:colOff>
      <xdr:row>30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C47DC7-7933-06C4-ACF1-CEE276C3D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888999</xdr:colOff>
      <xdr:row>41</xdr:row>
      <xdr:rowOff>0</xdr:rowOff>
    </xdr:from>
    <xdr:to>
      <xdr:col>12</xdr:col>
      <xdr:colOff>888999</xdr:colOff>
      <xdr:row>53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4407E83-0FBE-FF84-C91C-F06E36831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203199</xdr:colOff>
      <xdr:row>41</xdr:row>
      <xdr:rowOff>0</xdr:rowOff>
    </xdr:from>
    <xdr:to>
      <xdr:col>6</xdr:col>
      <xdr:colOff>888999</xdr:colOff>
      <xdr:row>53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56187F9-EB15-2261-53A8-B3D98E73D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B8D16-37EE-477A-BCE9-981DD51D0548}" name="tblParts" displayName="tblParts" ref="A1:G21" totalsRowShown="0">
  <autoFilter ref="A1:G21" xr:uid="{EB4B8D16-37EE-477A-BCE9-981DD51D0548}"/>
  <tableColumns count="7">
    <tableColumn id="1" xr3:uid="{F3069CCB-9548-46B4-B588-ACC08ADD4F25}" name="Part_ID"/>
    <tableColumn id="2" xr3:uid="{52B2C82D-55FB-4DDA-9221-0610AE8DCB97}" name="Part_Name"/>
    <tableColumn id="3" xr3:uid="{B87B3E01-B601-4473-8BED-39DC2E25A17A}" name="Supplier"/>
    <tableColumn id="4" xr3:uid="{95A0543B-1564-4E94-A77A-F13F0C4B8124}" name="Lead_Time_Weeks"/>
    <tableColumn id="5" xr3:uid="{4B46D422-542E-4D87-A5AE-2C85EF3E5BF6}" name="Unit_Cost_USD"/>
    <tableColumn id="6" xr3:uid="{E2D17915-363A-4D6D-A26D-710BCEF43619}" name="Multi_Source"/>
    <tableColumn id="7" xr3:uid="{52B3090D-27C2-4797-9EFF-68AD2A5E6FCA}" name="Sourcing_Ri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5D11D-1DDB-42DF-9690-B1E32696618E}" name="tblForecast" displayName="tblForecast" ref="A1:G1561" totalsRowShown="0">
  <autoFilter ref="A1:G1561" xr:uid="{00000000-0001-0000-0100-000000000000}"/>
  <tableColumns count="7">
    <tableColumn id="1" xr3:uid="{00D1B21B-C42B-49A9-A91B-2D3E35BE0E0A}" name="Week"/>
    <tableColumn id="2" xr3:uid="{88DB5C67-0CAF-4DCB-B5EB-04D23DC285A5}" name="Program"/>
    <tableColumn id="3" xr3:uid="{FEE858B5-262F-4CD6-9696-1D38140A9768}" name="Part_Name"/>
    <tableColumn id="4" xr3:uid="{4CB33FA8-FFE3-4EF3-A407-10FD320F20DE}" name="Forecast_Qty"/>
    <tableColumn id="5" xr3:uid="{249DB062-0842-4236-A799-F7B73E4996DC}" name="Actual_Demand"/>
    <tableColumn id="6" xr3:uid="{D86A87F8-3228-4AC2-8A22-19DA2FF1C22B}" name="Variance"/>
    <tableColumn id="7" xr3:uid="{12926D4B-736F-4679-B13C-0FB2D94A66E0}" name="Variance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74F0EF-7F7E-4BB6-9F4F-E65E81540861}" name="tblInventory" displayName="tblInventory" ref="A1:K81" totalsRowShown="0">
  <autoFilter ref="A1:K81" xr:uid="{EC74F0EF-7F7E-4BB6-9F4F-E65E81540861}"/>
  <tableColumns count="11">
    <tableColumn id="1" xr3:uid="{D7775815-204D-4857-8DAE-ED546E8835DE}" name="Part_ID"/>
    <tableColumn id="2" xr3:uid="{4EFF03A8-FE30-4FC3-9065-0301401865D8}" name="Part_Name"/>
    <tableColumn id="3" xr3:uid="{D306BA7B-BA9B-4382-BCE0-DDC8B5E0D6DB}" name="Supplier"/>
    <tableColumn id="4" xr3:uid="{8E424255-E50F-4CF9-82EB-81A313F02177}" name="Region"/>
    <tableColumn id="5" xr3:uid="{FB8AEBE5-3BC7-47F0-8218-5B4610BD2C1C}" name="On_Hand_Units"/>
    <tableColumn id="6" xr3:uid="{4B24C872-06DF-4E13-821D-0D554B67D0EC}" name="On_Order_Units"/>
    <tableColumn id="7" xr3:uid="{541CD9C0-EC5A-43E3-AD33-7DDE47978401}" name="Weekly_Burn_Rate"/>
    <tableColumn id="8" xr3:uid="{446C2449-094B-444F-B0A6-8BDD7A89A256}" name="Coverage_Weeks"/>
    <tableColumn id="9" xr3:uid="{B18DC186-7902-4F88-A92C-D29E64B6DEE3}" name="Reorder_Point_Wks"/>
    <tableColumn id="10" xr3:uid="{347AE4D5-440B-4430-8155-9AABD5BDA9FE}" name="Below_Reorder"/>
    <tableColumn id="11" xr3:uid="{4F066DA1-5E43-4D0F-833E-135C9FD5B4C4}" name="Shortage_Ri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FC9A66-1B25-4904-A2D3-831D0DBF0E63}" name="tblPO" displayName="tblPO" ref="A1:O351" totalsRowShown="0">
  <autoFilter ref="A1:O351" xr:uid="{C8FC9A66-1B25-4904-A2D3-831D0DBF0E63}"/>
  <tableColumns count="15">
    <tableColumn id="1" xr3:uid="{76323CCF-D3E5-4784-ABEC-8B0D56D3661E}" name="PO_Number"/>
    <tableColumn id="2" xr3:uid="{C87C3220-8420-46C5-9632-80A90F803424}" name="Part_ID"/>
    <tableColumn id="3" xr3:uid="{8F5622BA-29F7-41DE-9B11-34D980C9B009}" name="Part_Name"/>
    <tableColumn id="4" xr3:uid="{4E14CFB1-CB61-4827-96B5-39C8A9988C8A}" name="Supplier"/>
    <tableColumn id="5" xr3:uid="{BB800352-785F-4271-81CE-CA07DB8F0EC9}" name="Factory"/>
    <tableColumn id="6" xr3:uid="{F837316B-B91A-495B-AEB0-D4EF2E092E15}" name="Region"/>
    <tableColumn id="7" xr3:uid="{8ED074F4-B18F-4B1D-B047-E333A56EB166}" name="PO_Date"/>
    <tableColumn id="8" xr3:uid="{58AD90B2-1F2B-4805-A4C9-EE4FE5093960}" name="Need_By_Date"/>
    <tableColumn id="9" xr3:uid="{B84C0E8C-F1B7-458B-8F44-27FD15BA8130}" name="Expected_Date"/>
    <tableColumn id="10" xr3:uid="{3A5C6CE2-4D60-4AA7-9D3B-27452535E3FC}" name="Quantity_Ordered"/>
    <tableColumn id="11" xr3:uid="{7A76444E-7AE6-4B18-8BFB-BDCA4612D1E7}" name="Unit_Cost_USD"/>
    <tableColumn id="12" xr3:uid="{E3E91292-4871-4BD6-89D9-6767C0B911DE}" name="Total_Value_USD"/>
    <tableColumn id="13" xr3:uid="{F0777542-E543-4D3C-B3E6-47FF7CD8A62D}" name="Status"/>
    <tableColumn id="14" xr3:uid="{DFB52666-1457-4398-9B5D-F57D2AA06BA4}" name="On_Time"/>
    <tableColumn id="15" xr3:uid="{06990E4A-5BC0-4235-8705-8B5696D0B925}" name="Days_L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644361-3A86-415C-BF86-D285B4EACFA1}" name="tblNPI" displayName="tblNPI" ref="A1:I121" totalsRowShown="0">
  <autoFilter ref="A1:I121" xr:uid="{3C644361-3A86-415C-BF86-D285B4EACFA1}"/>
  <tableColumns count="9">
    <tableColumn id="1" xr3:uid="{91537313-4709-4255-A055-70ECB061FA29}" name="Program"/>
    <tableColumn id="2" xr3:uid="{10A75EFC-912D-4C8A-B662-F796FE4D2E09}" name="Region"/>
    <tableColumn id="3" xr3:uid="{76476981-3A96-4CCA-BF2A-508D9E78DF9F}" name="Milestone"/>
    <tableColumn id="4" xr3:uid="{27421675-0E59-4F9F-873C-324CBD79C471}" name="Planned_Date"/>
    <tableColumn id="5" xr3:uid="{8AF6FC11-1AF8-4598-8C17-23E0115DCA0E}" name="Actual_Date"/>
    <tableColumn id="6" xr3:uid="{85663986-DE7F-41B3-8389-A10D2F0E45D1}" name="Status"/>
    <tableColumn id="7" xr3:uid="{5A44EA18-2007-4C04-97A4-7B734CAA1B63}" name="Days_Variance"/>
    <tableColumn id="8" xr3:uid="{3BEE532A-2A02-46E9-A084-CF80D1E3D630}" name="Multi_Source_Pct"/>
    <tableColumn id="9" xr3:uid="{164E7322-7814-4C68-B18F-0C628AB5EF4D}" name="Clean_Launc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1FD38B-5982-4C45-82F0-ACBC60438BA2}" name="tblSupplier" displayName="tblSupplier" ref="A1:I17" totalsRowShown="0">
  <autoFilter ref="A1:I17" xr:uid="{241FD38B-5982-4C45-82F0-ACBC60438BA2}"/>
  <tableColumns count="9">
    <tableColumn id="1" xr3:uid="{A046E22C-5D6E-40DE-A4E7-75A5503DFA77}" name="Supplier"/>
    <tableColumn id="2" xr3:uid="{0ABCA2FB-D20C-46EE-9D89-6AD5BA07057D}" name="On_Time_Delivery_Pct"/>
    <tableColumn id="3" xr3:uid="{AA70D19A-81A8-4322-AF7F-2D8C11847429}" name="Quality_PPM"/>
    <tableColumn id="4" xr3:uid="{B58217E0-10EC-4433-ABD4-5AEAC2D4B188}" name="Lead_Time_Adherence_Pct"/>
    <tableColumn id="5" xr3:uid="{1F731CF5-FF40-481D-9798-73DA64329DC5}" name="Avg_Days_Late"/>
    <tableColumn id="6" xr3:uid="{143004A7-6F94-49A4-A736-1C64ED57D08A}" name="Open_POs"/>
    <tableColumn id="7" xr3:uid="{EA8A3685-7E7B-4C39-A2C5-D158DDA03515}" name="Total_Spend_USD_M"/>
    <tableColumn id="8" xr3:uid="{B2A3D467-B924-4011-881D-7362401AE3EC}" name="Single_Source_Parts"/>
    <tableColumn id="9" xr3:uid="{C23E768D-3EDE-448A-9BB7-6F7788EC68A0}" name="Risk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DF8542-0740-4FCB-8C7D-6A427CC270E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b1c611c-ebaf-4746-bc6e-61afd937ab4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FAD5-12D5-4B73-A305-9654BBBBB71F}">
  <dimension ref="B2:D47"/>
  <sheetViews>
    <sheetView showGridLines="0" workbookViewId="0">
      <selection activeCell="D20" sqref="D20"/>
    </sheetView>
  </sheetViews>
  <sheetFormatPr defaultRowHeight="14.5" x14ac:dyDescent="0.35"/>
  <cols>
    <col min="1" max="1" width="3.26953125" customWidth="1"/>
    <col min="2" max="2" width="47.26953125" customWidth="1"/>
    <col min="3" max="3" width="40" customWidth="1"/>
    <col min="4" max="4" width="94.54296875" customWidth="1"/>
  </cols>
  <sheetData>
    <row r="2" spans="2:4" ht="31" x14ac:dyDescent="0.7">
      <c r="B2" s="1" t="s">
        <v>858</v>
      </c>
    </row>
    <row r="3" spans="2:4" ht="15.5" x14ac:dyDescent="0.35">
      <c r="B3" s="2" t="s">
        <v>859</v>
      </c>
    </row>
    <row r="5" spans="2:4" ht="15.5" x14ac:dyDescent="0.35">
      <c r="B5" s="3" t="s">
        <v>860</v>
      </c>
    </row>
    <row r="6" spans="2:4" ht="60" customHeight="1" x14ac:dyDescent="0.35">
      <c r="B6" s="7" t="s">
        <v>861</v>
      </c>
    </row>
    <row r="8" spans="2:4" ht="15.5" x14ac:dyDescent="0.35">
      <c r="B8" s="3" t="s">
        <v>862</v>
      </c>
    </row>
    <row r="9" spans="2:4" x14ac:dyDescent="0.35">
      <c r="B9" s="4" t="s">
        <v>863</v>
      </c>
      <c r="C9" s="4" t="s">
        <v>864</v>
      </c>
      <c r="D9" s="4" t="s">
        <v>865</v>
      </c>
    </row>
    <row r="10" spans="2:4" ht="36" customHeight="1" x14ac:dyDescent="0.35">
      <c r="B10" s="5" t="s">
        <v>866</v>
      </c>
      <c r="C10" s="5" t="s">
        <v>867</v>
      </c>
      <c r="D10" s="5" t="s">
        <v>868</v>
      </c>
    </row>
    <row r="11" spans="2:4" ht="36" customHeight="1" x14ac:dyDescent="0.35">
      <c r="B11" s="5" t="s">
        <v>869</v>
      </c>
      <c r="C11" s="5" t="s">
        <v>870</v>
      </c>
      <c r="D11" s="5" t="s">
        <v>871</v>
      </c>
    </row>
    <row r="12" spans="2:4" ht="36" customHeight="1" x14ac:dyDescent="0.35">
      <c r="B12" s="5" t="s">
        <v>872</v>
      </c>
      <c r="C12" s="5" t="s">
        <v>873</v>
      </c>
      <c r="D12" s="5" t="s">
        <v>874</v>
      </c>
    </row>
    <row r="13" spans="2:4" ht="36" customHeight="1" x14ac:dyDescent="0.35">
      <c r="B13" s="5" t="s">
        <v>875</v>
      </c>
      <c r="C13" s="5" t="s">
        <v>876</v>
      </c>
      <c r="D13" s="5" t="s">
        <v>877</v>
      </c>
    </row>
    <row r="14" spans="2:4" ht="36" customHeight="1" x14ac:dyDescent="0.35">
      <c r="B14" s="5" t="s">
        <v>878</v>
      </c>
      <c r="C14" s="5" t="s">
        <v>879</v>
      </c>
      <c r="D14" s="5" t="s">
        <v>880</v>
      </c>
    </row>
    <row r="15" spans="2:4" ht="36" customHeight="1" x14ac:dyDescent="0.35">
      <c r="B15" s="5" t="s">
        <v>881</v>
      </c>
      <c r="C15" s="5" t="s">
        <v>882</v>
      </c>
      <c r="D15" s="5" t="s">
        <v>883</v>
      </c>
    </row>
    <row r="17" spans="2:4" ht="15.5" x14ac:dyDescent="0.35">
      <c r="B17" s="3" t="s">
        <v>884</v>
      </c>
    </row>
    <row r="18" spans="2:4" x14ac:dyDescent="0.35">
      <c r="B18" s="4" t="s">
        <v>885</v>
      </c>
      <c r="C18" s="4" t="s">
        <v>886</v>
      </c>
      <c r="D18" s="4" t="s">
        <v>887</v>
      </c>
    </row>
    <row r="19" spans="2:4" ht="36" customHeight="1" x14ac:dyDescent="0.35">
      <c r="B19" s="5" t="s">
        <v>888</v>
      </c>
      <c r="C19" s="5" t="s">
        <v>889</v>
      </c>
      <c r="D19" s="5" t="s">
        <v>890</v>
      </c>
    </row>
    <row r="20" spans="2:4" ht="36" customHeight="1" x14ac:dyDescent="0.35">
      <c r="B20" s="5" t="s">
        <v>891</v>
      </c>
      <c r="C20" s="5" t="s">
        <v>892</v>
      </c>
      <c r="D20" s="5" t="s">
        <v>893</v>
      </c>
    </row>
    <row r="21" spans="2:4" ht="36" customHeight="1" x14ac:dyDescent="0.35">
      <c r="B21" s="5" t="s">
        <v>894</v>
      </c>
      <c r="C21" s="5" t="s">
        <v>895</v>
      </c>
      <c r="D21" s="5" t="s">
        <v>896</v>
      </c>
    </row>
    <row r="22" spans="2:4" ht="36" customHeight="1" x14ac:dyDescent="0.35">
      <c r="B22" s="5" t="s">
        <v>897</v>
      </c>
      <c r="C22" s="5" t="s">
        <v>898</v>
      </c>
      <c r="D22" s="5" t="s">
        <v>899</v>
      </c>
    </row>
    <row r="23" spans="2:4" ht="36" customHeight="1" x14ac:dyDescent="0.35">
      <c r="B23" s="5" t="s">
        <v>900</v>
      </c>
      <c r="C23" s="5" t="s">
        <v>901</v>
      </c>
      <c r="D23" s="5" t="s">
        <v>902</v>
      </c>
    </row>
    <row r="24" spans="2:4" ht="36" customHeight="1" x14ac:dyDescent="0.35">
      <c r="B24" s="5" t="s">
        <v>903</v>
      </c>
      <c r="C24" s="5" t="s">
        <v>904</v>
      </c>
      <c r="D24" s="5" t="s">
        <v>905</v>
      </c>
    </row>
    <row r="25" spans="2:4" ht="36" customHeight="1" x14ac:dyDescent="0.35">
      <c r="B25" s="5" t="s">
        <v>906</v>
      </c>
      <c r="C25" s="5" t="s">
        <v>907</v>
      </c>
      <c r="D25" s="5" t="s">
        <v>908</v>
      </c>
    </row>
    <row r="27" spans="2:4" ht="15.5" x14ac:dyDescent="0.35">
      <c r="B27" s="3" t="s">
        <v>909</v>
      </c>
    </row>
    <row r="28" spans="2:4" x14ac:dyDescent="0.35">
      <c r="B28" s="4" t="s">
        <v>910</v>
      </c>
      <c r="C28" s="4" t="s">
        <v>911</v>
      </c>
      <c r="D28" s="4" t="s">
        <v>912</v>
      </c>
    </row>
    <row r="29" spans="2:4" ht="36" customHeight="1" x14ac:dyDescent="0.35">
      <c r="B29" s="5" t="s">
        <v>913</v>
      </c>
      <c r="C29" s="5" t="s">
        <v>914</v>
      </c>
      <c r="D29" s="5" t="s">
        <v>915</v>
      </c>
    </row>
    <row r="30" spans="2:4" ht="36" customHeight="1" x14ac:dyDescent="0.35">
      <c r="B30" s="5" t="s">
        <v>916</v>
      </c>
      <c r="C30" s="5" t="s">
        <v>917</v>
      </c>
      <c r="D30" s="5" t="s">
        <v>918</v>
      </c>
    </row>
    <row r="31" spans="2:4" ht="36" customHeight="1" x14ac:dyDescent="0.35">
      <c r="B31" s="5" t="s">
        <v>919</v>
      </c>
      <c r="C31" s="5" t="s">
        <v>920</v>
      </c>
      <c r="D31" s="5" t="s">
        <v>921</v>
      </c>
    </row>
    <row r="32" spans="2:4" ht="36" customHeight="1" x14ac:dyDescent="0.35">
      <c r="B32" s="5" t="s">
        <v>922</v>
      </c>
      <c r="C32" s="5" t="s">
        <v>923</v>
      </c>
      <c r="D32" s="5" t="s">
        <v>924</v>
      </c>
    </row>
    <row r="33" spans="2:4" ht="36" customHeight="1" x14ac:dyDescent="0.35">
      <c r="B33" s="5" t="s">
        <v>925</v>
      </c>
      <c r="C33" s="5" t="s">
        <v>926</v>
      </c>
      <c r="D33" s="5" t="s">
        <v>927</v>
      </c>
    </row>
    <row r="34" spans="2:4" ht="36" customHeight="1" x14ac:dyDescent="0.35">
      <c r="B34" s="5" t="s">
        <v>928</v>
      </c>
      <c r="C34" s="5" t="s">
        <v>929</v>
      </c>
      <c r="D34" s="5" t="s">
        <v>930</v>
      </c>
    </row>
    <row r="35" spans="2:4" ht="36" customHeight="1" x14ac:dyDescent="0.35">
      <c r="B35" s="5" t="s">
        <v>931</v>
      </c>
      <c r="C35" s="5" t="s">
        <v>932</v>
      </c>
      <c r="D35" s="5" t="s">
        <v>933</v>
      </c>
    </row>
    <row r="37" spans="2:4" ht="15.5" x14ac:dyDescent="0.35">
      <c r="B37" s="3" t="s">
        <v>934</v>
      </c>
    </row>
    <row r="38" spans="2:4" x14ac:dyDescent="0.35">
      <c r="B38" s="5" t="s">
        <v>935</v>
      </c>
    </row>
    <row r="39" spans="2:4" ht="43.5" x14ac:dyDescent="0.35">
      <c r="B39" s="5" t="s">
        <v>936</v>
      </c>
    </row>
    <row r="40" spans="2:4" ht="29" x14ac:dyDescent="0.35">
      <c r="B40" s="5" t="s">
        <v>937</v>
      </c>
    </row>
    <row r="41" spans="2:4" ht="43.5" x14ac:dyDescent="0.35">
      <c r="B41" s="5" t="s">
        <v>938</v>
      </c>
    </row>
    <row r="42" spans="2:4" ht="72.5" x14ac:dyDescent="0.35">
      <c r="B42" s="5" t="s">
        <v>939</v>
      </c>
    </row>
    <row r="43" spans="2:4" x14ac:dyDescent="0.35">
      <c r="B43" s="5"/>
    </row>
    <row r="44" spans="2:4" ht="15.5" x14ac:dyDescent="0.35">
      <c r="B44" s="6" t="s">
        <v>940</v>
      </c>
    </row>
    <row r="45" spans="2:4" ht="29" x14ac:dyDescent="0.35">
      <c r="B45" s="5" t="s">
        <v>941</v>
      </c>
    </row>
    <row r="46" spans="2:4" ht="29" x14ac:dyDescent="0.35">
      <c r="B46" s="5" t="s">
        <v>942</v>
      </c>
    </row>
    <row r="47" spans="2:4" ht="43.5" x14ac:dyDescent="0.35">
      <c r="B47" s="5" t="s">
        <v>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ED46-7050-465A-8CEE-4675C9AA1C32}">
  <dimension ref="A1:AH80"/>
  <sheetViews>
    <sheetView showGridLines="0" showRowColHeaders="0" tabSelected="1" zoomScale="70" zoomScaleNormal="70" workbookViewId="0"/>
  </sheetViews>
  <sheetFormatPr defaultRowHeight="14.5" x14ac:dyDescent="0.35"/>
  <cols>
    <col min="1" max="1" width="2.90625" customWidth="1"/>
    <col min="2" max="13" width="12.7265625" customWidth="1"/>
    <col min="14" max="14" width="2.90625" customWidth="1"/>
    <col min="15" max="26" width="10.1796875" customWidth="1"/>
    <col min="28" max="34" width="10.90625" customWidth="1"/>
  </cols>
  <sheetData>
    <row r="1" spans="1:34" ht="12" customHeigh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AB1" s="48" t="s">
        <v>946</v>
      </c>
      <c r="AC1" s="49"/>
      <c r="AD1" s="49"/>
      <c r="AE1" s="49"/>
      <c r="AF1" s="49"/>
      <c r="AG1" s="49"/>
      <c r="AH1" s="49"/>
    </row>
    <row r="2" spans="1:34" ht="38" customHeight="1" x14ac:dyDescent="0.35">
      <c r="A2" s="8"/>
      <c r="B2" s="80" t="s">
        <v>858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8"/>
      <c r="AB2" s="49" t="s">
        <v>947</v>
      </c>
      <c r="AC2" s="49" t="str">
        <f>IF(D5="All","*",D5)</f>
        <v>*</v>
      </c>
      <c r="AD2" s="49"/>
      <c r="AE2" s="49"/>
      <c r="AF2" s="49"/>
      <c r="AG2" s="49"/>
      <c r="AH2" s="49"/>
    </row>
    <row r="3" spans="1:34" ht="22" customHeight="1" x14ac:dyDescent="0.35">
      <c r="A3" s="8"/>
      <c r="B3" s="81" t="s">
        <v>944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8"/>
      <c r="AB3" s="49" t="s">
        <v>948</v>
      </c>
      <c r="AC3" s="49" t="str">
        <f>IF(H5="All","*",H5)</f>
        <v>*</v>
      </c>
      <c r="AD3" s="49"/>
      <c r="AE3" s="49"/>
      <c r="AF3" s="49"/>
      <c r="AG3" s="49"/>
      <c r="AH3" s="49"/>
    </row>
    <row r="4" spans="1:34" ht="14" customHeight="1" thickBo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AB4" s="49"/>
      <c r="AC4" s="49"/>
      <c r="AD4" s="49"/>
      <c r="AE4" s="49"/>
      <c r="AF4" s="49"/>
      <c r="AG4" s="49"/>
      <c r="AH4" s="49"/>
    </row>
    <row r="5" spans="1:34" ht="28" customHeight="1" thickBot="1" x14ac:dyDescent="0.4">
      <c r="A5" s="8"/>
      <c r="B5" s="75" t="s">
        <v>990</v>
      </c>
      <c r="C5" s="51"/>
      <c r="D5" s="76" t="s">
        <v>945</v>
      </c>
      <c r="E5" s="51"/>
      <c r="F5" s="75" t="s">
        <v>991</v>
      </c>
      <c r="G5" s="51"/>
      <c r="H5" s="76" t="s">
        <v>945</v>
      </c>
      <c r="I5" s="51"/>
      <c r="J5" s="77" t="s">
        <v>992</v>
      </c>
      <c r="K5" s="51"/>
      <c r="L5" s="51"/>
      <c r="M5" s="51"/>
      <c r="N5" s="8"/>
      <c r="AB5" s="49" t="s">
        <v>949</v>
      </c>
      <c r="AC5" s="49"/>
      <c r="AD5" s="49" t="s">
        <v>950</v>
      </c>
      <c r="AE5" s="49"/>
      <c r="AF5" s="49"/>
      <c r="AG5" s="49"/>
      <c r="AH5" s="49"/>
    </row>
    <row r="6" spans="1:34" ht="14" customHeight="1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AB6" s="49" t="s">
        <v>945</v>
      </c>
      <c r="AC6" s="49"/>
      <c r="AD6" s="49" t="s">
        <v>945</v>
      </c>
      <c r="AE6" s="49"/>
      <c r="AF6" s="49"/>
      <c r="AG6" s="49"/>
      <c r="AH6" s="49"/>
    </row>
    <row r="7" spans="1:34" ht="18" customHeight="1" x14ac:dyDescent="0.35">
      <c r="A7" s="8"/>
      <c r="B7" s="64" t="s">
        <v>951</v>
      </c>
      <c r="C7" s="65"/>
      <c r="D7" s="65"/>
      <c r="E7" s="65"/>
      <c r="F7" s="64" t="s">
        <v>952</v>
      </c>
      <c r="G7" s="65"/>
      <c r="H7" s="65"/>
      <c r="I7" s="65"/>
      <c r="J7" s="78" t="s">
        <v>953</v>
      </c>
      <c r="K7" s="65"/>
      <c r="L7" s="65"/>
      <c r="M7" s="72"/>
      <c r="N7" s="8"/>
      <c r="AB7" s="49" t="s">
        <v>127</v>
      </c>
      <c r="AC7" s="49"/>
      <c r="AD7" s="49" t="s">
        <v>63</v>
      </c>
      <c r="AE7" s="49"/>
      <c r="AF7" s="49"/>
      <c r="AG7" s="49"/>
      <c r="AH7" s="49"/>
    </row>
    <row r="8" spans="1:34" ht="44" customHeight="1" x14ac:dyDescent="0.35">
      <c r="A8" s="8"/>
      <c r="B8" s="73" cm="1">
        <f t="array" ref="B8">IFERROR(1-SUMPRODUCT(ABS(tblForecast[Variance])*(IF($AC$3="*",1,--(tblForecast[Program]=$AC$3))))/SUMIFS(tblForecast[Actual_Demand],tblForecast[Program],$AC$3),0)</f>
        <v>0.85531742230736485</v>
      </c>
      <c r="C8" s="53"/>
      <c r="D8" s="53"/>
      <c r="E8" s="53"/>
      <c r="F8" s="73">
        <f>IFERROR(COUNTIFS(tblPO[On_Time],TRUE,tblPO[Region],$AC$2)/COUNTIFS(tblPO[Region],$AC$2),0)</f>
        <v>0.80571428571428572</v>
      </c>
      <c r="G8" s="53"/>
      <c r="H8" s="53"/>
      <c r="I8" s="53"/>
      <c r="J8" s="61">
        <f>IFERROR(AVERAGEIFS(tblPO[Days_Late],tblPO[Days_Late],"&gt;0",tblPO[Region],$AC$2),0)</f>
        <v>19.397058823529413</v>
      </c>
      <c r="K8" s="53"/>
      <c r="L8" s="53"/>
      <c r="M8" s="54"/>
      <c r="N8" s="8"/>
      <c r="AB8" s="49" t="s">
        <v>128</v>
      </c>
      <c r="AC8" s="49"/>
      <c r="AD8" s="49" t="s">
        <v>115</v>
      </c>
      <c r="AE8" s="49"/>
      <c r="AF8" s="49"/>
      <c r="AG8" s="49"/>
      <c r="AH8" s="49"/>
    </row>
    <row r="9" spans="1:34" ht="16" customHeight="1" x14ac:dyDescent="0.35">
      <c r="A9" s="8"/>
      <c r="B9" s="67" t="s">
        <v>993</v>
      </c>
      <c r="C9" s="53"/>
      <c r="D9" s="53"/>
      <c r="E9" s="53"/>
      <c r="F9" s="67" t="s">
        <v>994</v>
      </c>
      <c r="G9" s="53"/>
      <c r="H9" s="53"/>
      <c r="I9" s="53"/>
      <c r="J9" s="62" t="s">
        <v>995</v>
      </c>
      <c r="K9" s="53"/>
      <c r="L9" s="53"/>
      <c r="M9" s="54"/>
      <c r="N9" s="8"/>
      <c r="AB9" s="49" t="s">
        <v>129</v>
      </c>
      <c r="AC9" s="49"/>
      <c r="AD9" s="49" t="s">
        <v>116</v>
      </c>
      <c r="AE9" s="49"/>
      <c r="AF9" s="49"/>
      <c r="AG9" s="49"/>
      <c r="AH9" s="49"/>
    </row>
    <row r="10" spans="1:34" ht="4" customHeight="1" x14ac:dyDescent="0.35">
      <c r="A10" s="8"/>
      <c r="B10" s="74"/>
      <c r="C10" s="57"/>
      <c r="D10" s="57"/>
      <c r="E10" s="57"/>
      <c r="F10" s="74"/>
      <c r="G10" s="57"/>
      <c r="H10" s="57"/>
      <c r="I10" s="57"/>
      <c r="J10" s="63"/>
      <c r="K10" s="57"/>
      <c r="L10" s="57"/>
      <c r="M10" s="58"/>
      <c r="N10" s="8"/>
      <c r="AB10" s="49" t="s">
        <v>130</v>
      </c>
      <c r="AC10" s="49"/>
      <c r="AD10" s="49" t="s">
        <v>117</v>
      </c>
      <c r="AE10" s="49"/>
      <c r="AF10" s="49"/>
      <c r="AG10" s="49"/>
      <c r="AH10" s="49"/>
    </row>
    <row r="11" spans="1:34" ht="10" customHeight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AB11" s="49"/>
      <c r="AC11" s="49"/>
      <c r="AD11" s="49" t="s">
        <v>118</v>
      </c>
      <c r="AE11" s="49"/>
      <c r="AF11" s="49"/>
      <c r="AG11" s="49"/>
      <c r="AH11" s="49"/>
    </row>
    <row r="12" spans="1:34" ht="18" customHeight="1" x14ac:dyDescent="0.35">
      <c r="A12" s="8"/>
      <c r="B12" s="64" t="s">
        <v>996</v>
      </c>
      <c r="C12" s="65"/>
      <c r="D12" s="65"/>
      <c r="E12" s="65"/>
      <c r="F12" s="68" t="s">
        <v>998</v>
      </c>
      <c r="G12" s="65"/>
      <c r="H12" s="65"/>
      <c r="I12" s="65"/>
      <c r="J12" s="71" t="s">
        <v>954</v>
      </c>
      <c r="K12" s="65"/>
      <c r="L12" s="65"/>
      <c r="M12" s="72"/>
      <c r="N12" s="8"/>
      <c r="AB12" s="49"/>
      <c r="AC12" s="49"/>
      <c r="AD12" s="49"/>
      <c r="AE12" s="49"/>
      <c r="AF12" s="49"/>
      <c r="AG12" s="49"/>
      <c r="AH12" s="49"/>
    </row>
    <row r="13" spans="1:34" ht="44" customHeight="1" x14ac:dyDescent="0.35">
      <c r="A13" s="8"/>
      <c r="B13" s="66">
        <f>(SUMIFS(tblPO[Total_Value_USD],tblPO[Status],"Open",tblPO[Region],$AC$2)+SUMIFS(tblPO[Total_Value_USD],tblPO[Status],"In Transit",tblPO[Region],$AC$2)+SUMIFS(tblPO[Total_Value_USD],tblPO[Status],"Delayed",tblPO[Region],$AC$2))/1000000</f>
        <v>28.388557350000006</v>
      </c>
      <c r="C13" s="53"/>
      <c r="D13" s="53"/>
      <c r="E13" s="53"/>
      <c r="F13" s="69">
        <f>COUNTIFS(tblInventory[Shortage_Risk],"CRITICAL",tblInventory[Region],$AC$2)+COUNTIFS(tblInventory[Shortage_Risk],"HIGH",tblInventory[Region],$AC$2)</f>
        <v>41</v>
      </c>
      <c r="G13" s="53"/>
      <c r="H13" s="53"/>
      <c r="I13" s="53"/>
      <c r="J13" s="52">
        <f>IFERROR(COUNTIFS(tblNPI[Clean_Launch],TRUE,tblNPI[Program],$AC$3,tblNPI[Region],$AC$2)/COUNTIFS(tblNPI[Program],$AC$3,tblNPI[Region],$AC$2),0)</f>
        <v>0.875</v>
      </c>
      <c r="K13" s="53"/>
      <c r="L13" s="53"/>
      <c r="M13" s="54"/>
      <c r="N13" s="8"/>
      <c r="AB13" s="48" t="s">
        <v>955</v>
      </c>
      <c r="AC13" s="49"/>
      <c r="AD13" s="49"/>
      <c r="AE13" s="49"/>
      <c r="AF13" s="49"/>
      <c r="AG13" s="49"/>
      <c r="AH13" s="49"/>
    </row>
    <row r="14" spans="1:34" ht="16" customHeight="1" x14ac:dyDescent="0.35">
      <c r="A14" s="8"/>
      <c r="B14" s="67" t="s">
        <v>997</v>
      </c>
      <c r="C14" s="53"/>
      <c r="D14" s="53"/>
      <c r="E14" s="53"/>
      <c r="F14" s="70" t="s">
        <v>999</v>
      </c>
      <c r="G14" s="53"/>
      <c r="H14" s="53"/>
      <c r="I14" s="53"/>
      <c r="J14" s="55" t="s">
        <v>1000</v>
      </c>
      <c r="K14" s="53"/>
      <c r="L14" s="53"/>
      <c r="M14" s="54"/>
      <c r="N14" s="8"/>
      <c r="AB14" s="49" t="s">
        <v>956</v>
      </c>
      <c r="AC14" s="49" t="s">
        <v>957</v>
      </c>
      <c r="AD14" s="49" t="s">
        <v>958</v>
      </c>
      <c r="AE14" s="49"/>
      <c r="AF14" s="49"/>
      <c r="AG14" s="49"/>
      <c r="AH14" s="49"/>
    </row>
    <row r="15" spans="1:34" ht="4" customHeight="1" x14ac:dyDescent="0.35">
      <c r="A15" s="8"/>
      <c r="B15" s="74"/>
      <c r="C15" s="57"/>
      <c r="D15" s="57"/>
      <c r="E15" s="57"/>
      <c r="F15" s="79"/>
      <c r="G15" s="57"/>
      <c r="H15" s="57"/>
      <c r="I15" s="57"/>
      <c r="J15" s="56"/>
      <c r="K15" s="57"/>
      <c r="L15" s="57"/>
      <c r="M15" s="58"/>
      <c r="N15" s="8"/>
      <c r="AB15" s="49" t="s">
        <v>959</v>
      </c>
      <c r="AC15" s="49" cm="1">
        <f t="array" ref="AC15">SUMPRODUCT((TEXT(tblForecast[Week],"yyyy-mm")=$AB15)*(IF($AC$3="*",1,--(tblForecast[Program]=$AC$3)))*tblForecast[Forecast_Qty])</f>
        <v>6472</v>
      </c>
      <c r="AD15" s="49" cm="1">
        <f t="array" ref="AD15">SUMPRODUCT((TEXT(tblForecast[Week],"yyyy-mm")=$AB15)*(IF($AC$3="*",1,--(tblForecast[Program]=$AC$3)))*tblForecast[Actual_Demand])</f>
        <v>6393</v>
      </c>
      <c r="AE15" s="49"/>
      <c r="AF15" s="49"/>
      <c r="AG15" s="49"/>
      <c r="AH15" s="49"/>
    </row>
    <row r="16" spans="1:34" ht="18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AB16" s="49" t="s">
        <v>960</v>
      </c>
      <c r="AC16" s="49" cm="1">
        <f t="array" ref="AC16">SUMPRODUCT((TEXT(tblForecast[Week],"yyyy-mm")=$AB16)*(IF($AC$3="*",1,--(tblForecast[Program]=$AC$3)))*tblForecast[Forecast_Qty])</f>
        <v>7472</v>
      </c>
      <c r="AD16" s="49" cm="1">
        <f t="array" ref="AD16">SUMPRODUCT((TEXT(tblForecast[Week],"yyyy-mm")=$AB16)*(IF($AC$3="*",1,--(tblForecast[Program]=$AC$3)))*tblForecast[Actual_Demand])</f>
        <v>7472</v>
      </c>
      <c r="AE16" s="49"/>
      <c r="AF16" s="49"/>
      <c r="AG16" s="49"/>
      <c r="AH16" s="49"/>
    </row>
    <row r="17" spans="1:34" ht="22" customHeight="1" thickBot="1" x14ac:dyDescent="0.4">
      <c r="A17" s="8"/>
      <c r="B17" s="59" t="s">
        <v>1001</v>
      </c>
      <c r="C17" s="51"/>
      <c r="D17" s="51"/>
      <c r="E17" s="51"/>
      <c r="F17" s="51"/>
      <c r="G17" s="51"/>
      <c r="H17" s="59" t="s">
        <v>1002</v>
      </c>
      <c r="I17" s="51"/>
      <c r="J17" s="51"/>
      <c r="K17" s="51"/>
      <c r="L17" s="51"/>
      <c r="M17" s="51"/>
      <c r="N17" s="8"/>
      <c r="AB17" s="49" t="s">
        <v>961</v>
      </c>
      <c r="AC17" s="49" cm="1">
        <f t="array" ref="AC17">SUMPRODUCT((TEXT(tblForecast[Week],"yyyy-mm")=$AB17)*(IF($AC$3="*",1,--(tblForecast[Program]=$AC$3)))*tblForecast[Forecast_Qty])</f>
        <v>10435</v>
      </c>
      <c r="AD17" s="49" cm="1">
        <f t="array" ref="AD17">SUMPRODUCT((TEXT(tblForecast[Week],"yyyy-mm")=$AB17)*(IF($AC$3="*",1,--(tblForecast[Program]=$AC$3)))*tblForecast[Actual_Demand])</f>
        <v>10660</v>
      </c>
      <c r="AE17" s="49"/>
      <c r="AF17" s="49"/>
      <c r="AG17" s="49"/>
      <c r="AH17" s="49"/>
    </row>
    <row r="18" spans="1:34" ht="6" customHeight="1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AB18" s="49" t="s">
        <v>962</v>
      </c>
      <c r="AC18" s="49" cm="1">
        <f t="array" ref="AC18">SUMPRODUCT((TEXT(tblForecast[Week],"yyyy-mm")=$AB18)*(IF($AC$3="*",1,--(tblForecast[Program]=$AC$3)))*tblForecast[Forecast_Qty])</f>
        <v>9509</v>
      </c>
      <c r="AD18" s="49" cm="1">
        <f t="array" ref="AD18">SUMPRODUCT((TEXT(tblForecast[Week],"yyyy-mm")=$AB18)*(IF($AC$3="*",1,--(tblForecast[Program]=$AC$3)))*tblForecast[Actual_Demand])</f>
        <v>9409</v>
      </c>
      <c r="AE18" s="49"/>
      <c r="AF18" s="49"/>
      <c r="AG18" s="49"/>
      <c r="AH18" s="49"/>
    </row>
    <row r="19" spans="1:34" ht="18" customHeight="1" x14ac:dyDescent="0.35">
      <c r="A19" s="8"/>
      <c r="B19" s="12"/>
      <c r="C19" s="10"/>
      <c r="D19" s="10"/>
      <c r="E19" s="10"/>
      <c r="F19" s="10"/>
      <c r="G19" s="10"/>
      <c r="H19" s="12"/>
      <c r="I19" s="10"/>
      <c r="J19" s="10"/>
      <c r="K19" s="10"/>
      <c r="L19" s="10"/>
      <c r="M19" s="15"/>
      <c r="N19" s="8"/>
      <c r="AB19" s="49" t="s">
        <v>963</v>
      </c>
      <c r="AC19" s="49" cm="1">
        <f t="array" ref="AC19">SUMPRODUCT((TEXT(tblForecast[Week],"yyyy-mm")=$AB19)*(IF($AC$3="*",1,--(tblForecast[Program]=$AC$3)))*tblForecast[Forecast_Qty])</f>
        <v>10428</v>
      </c>
      <c r="AD19" s="49" cm="1">
        <f t="array" ref="AD19">SUMPRODUCT((TEXT(tblForecast[Week],"yyyy-mm")=$AB19)*(IF($AC$3="*",1,--(tblForecast[Program]=$AC$3)))*tblForecast[Actual_Demand])</f>
        <v>10055</v>
      </c>
      <c r="AE19" s="49"/>
      <c r="AF19" s="49"/>
      <c r="AG19" s="49"/>
      <c r="AH19" s="49"/>
    </row>
    <row r="20" spans="1:34" ht="18" customHeight="1" x14ac:dyDescent="0.35">
      <c r="A20" s="8"/>
      <c r="B20" s="13"/>
      <c r="C20" s="9"/>
      <c r="D20" s="9"/>
      <c r="E20" s="9"/>
      <c r="F20" s="9"/>
      <c r="G20" s="9"/>
      <c r="H20" s="13"/>
      <c r="I20" s="9"/>
      <c r="J20" s="9"/>
      <c r="K20" s="9"/>
      <c r="L20" s="9"/>
      <c r="M20" s="16"/>
      <c r="N20" s="8"/>
      <c r="AB20" s="49" t="s">
        <v>964</v>
      </c>
      <c r="AC20" s="49" cm="1">
        <f t="array" ref="AC20">SUMPRODUCT((TEXT(tblForecast[Week],"yyyy-mm")=$AB20)*(IF($AC$3="*",1,--(tblForecast[Program]=$AC$3)))*tblForecast[Forecast_Qty])</f>
        <v>14408</v>
      </c>
      <c r="AD20" s="49" cm="1">
        <f t="array" ref="AD20">SUMPRODUCT((TEXT(tblForecast[Week],"yyyy-mm")=$AB20)*(IF($AC$3="*",1,--(tblForecast[Program]=$AC$3)))*tblForecast[Actual_Demand])</f>
        <v>12888</v>
      </c>
      <c r="AE20" s="49"/>
      <c r="AF20" s="49"/>
      <c r="AG20" s="49"/>
      <c r="AH20" s="49"/>
    </row>
    <row r="21" spans="1:34" ht="18" customHeight="1" x14ac:dyDescent="0.35">
      <c r="A21" s="8"/>
      <c r="B21" s="13"/>
      <c r="C21" s="9"/>
      <c r="D21" s="9"/>
      <c r="E21" s="9"/>
      <c r="F21" s="9"/>
      <c r="G21" s="9"/>
      <c r="H21" s="13"/>
      <c r="I21" s="9"/>
      <c r="J21" s="9"/>
      <c r="K21" s="9"/>
      <c r="L21" s="9"/>
      <c r="M21" s="16"/>
      <c r="N21" s="8"/>
      <c r="AB21" s="49" t="s">
        <v>965</v>
      </c>
      <c r="AC21" s="49" cm="1">
        <f t="array" ref="AC21">SUMPRODUCT((TEXT(tblForecast[Week],"yyyy-mm")=$AB21)*(IF($AC$3="*",1,--(tblForecast[Program]=$AC$3)))*tblForecast[Forecast_Qty])</f>
        <v>12403</v>
      </c>
      <c r="AD21" s="49" cm="1">
        <f t="array" ref="AD21">SUMPRODUCT((TEXT(tblForecast[Week],"yyyy-mm")=$AB21)*(IF($AC$3="*",1,--(tblForecast[Program]=$AC$3)))*tblForecast[Actual_Demand])</f>
        <v>12241</v>
      </c>
      <c r="AE21" s="49"/>
      <c r="AF21" s="49"/>
      <c r="AG21" s="49"/>
      <c r="AH21" s="49"/>
    </row>
    <row r="22" spans="1:34" ht="18" customHeight="1" x14ac:dyDescent="0.35">
      <c r="A22" s="8"/>
      <c r="B22" s="13"/>
      <c r="C22" s="9"/>
      <c r="D22" s="9"/>
      <c r="E22" s="9"/>
      <c r="F22" s="9"/>
      <c r="G22" s="9"/>
      <c r="H22" s="13"/>
      <c r="I22" s="9"/>
      <c r="J22" s="9"/>
      <c r="K22" s="9"/>
      <c r="L22" s="9"/>
      <c r="M22" s="16"/>
      <c r="N22" s="8"/>
      <c r="AB22" s="49" t="s">
        <v>966</v>
      </c>
      <c r="AC22" s="49" cm="1">
        <f t="array" ref="AC22">SUMPRODUCT((TEXT(tblForecast[Week],"yyyy-mm")=$AB22)*(IF($AC$3="*",1,--(tblForecast[Program]=$AC$3)))*tblForecast[Forecast_Qty])</f>
        <v>13469</v>
      </c>
      <c r="AD22" s="49" cm="1">
        <f t="array" ref="AD22">SUMPRODUCT((TEXT(tblForecast[Week],"yyyy-mm")=$AB22)*(IF($AC$3="*",1,--(tblForecast[Program]=$AC$3)))*tblForecast[Actual_Demand])</f>
        <v>13137</v>
      </c>
      <c r="AE22" s="49"/>
      <c r="AF22" s="49"/>
      <c r="AG22" s="49"/>
      <c r="AH22" s="49"/>
    </row>
    <row r="23" spans="1:34" ht="18" customHeight="1" x14ac:dyDescent="0.35">
      <c r="A23" s="8"/>
      <c r="B23" s="13"/>
      <c r="C23" s="9"/>
      <c r="D23" s="9"/>
      <c r="E23" s="9"/>
      <c r="F23" s="9"/>
      <c r="G23" s="9"/>
      <c r="H23" s="13"/>
      <c r="I23" s="9"/>
      <c r="J23" s="9"/>
      <c r="K23" s="9"/>
      <c r="L23" s="9"/>
      <c r="M23" s="16"/>
      <c r="N23" s="8"/>
      <c r="AB23" s="49" t="s">
        <v>967</v>
      </c>
      <c r="AC23" s="49" cm="1">
        <f t="array" ref="AC23">SUMPRODUCT((TEXT(tblForecast[Week],"yyyy-mm")=$AB23)*(IF($AC$3="*",1,--(tblForecast[Program]=$AC$3)))*tblForecast[Forecast_Qty])</f>
        <v>18079</v>
      </c>
      <c r="AD23" s="49" cm="1">
        <f t="array" ref="AD23">SUMPRODUCT((TEXT(tblForecast[Week],"yyyy-mm")=$AB23)*(IF($AC$3="*",1,--(tblForecast[Program]=$AC$3)))*tblForecast[Actual_Demand])</f>
        <v>18256</v>
      </c>
      <c r="AE23" s="49"/>
      <c r="AF23" s="49"/>
      <c r="AG23" s="49"/>
      <c r="AH23" s="49"/>
    </row>
    <row r="24" spans="1:34" ht="18" customHeight="1" x14ac:dyDescent="0.35">
      <c r="A24" s="8"/>
      <c r="B24" s="13"/>
      <c r="C24" s="9"/>
      <c r="D24" s="9"/>
      <c r="E24" s="9"/>
      <c r="F24" s="9"/>
      <c r="G24" s="9"/>
      <c r="H24" s="13"/>
      <c r="I24" s="9"/>
      <c r="J24" s="9"/>
      <c r="K24" s="9"/>
      <c r="L24" s="9"/>
      <c r="M24" s="16"/>
      <c r="N24" s="8"/>
      <c r="AB24" s="49" t="s">
        <v>968</v>
      </c>
      <c r="AC24" s="49" cm="1">
        <f t="array" ref="AC24">SUMPRODUCT((TEXT(tblForecast[Week],"yyyy-mm")=$AB24)*(IF($AC$3="*",1,--(tblForecast[Program]=$AC$3)))*tblForecast[Forecast_Qty])</f>
        <v>15380</v>
      </c>
      <c r="AD24" s="49" cm="1">
        <f t="array" ref="AD24">SUMPRODUCT((TEXT(tblForecast[Week],"yyyy-mm")=$AB24)*(IF($AC$3="*",1,--(tblForecast[Program]=$AC$3)))*tblForecast[Actual_Demand])</f>
        <v>15186</v>
      </c>
      <c r="AE24" s="49"/>
      <c r="AF24" s="49"/>
      <c r="AG24" s="49"/>
      <c r="AH24" s="49"/>
    </row>
    <row r="25" spans="1:34" ht="18" customHeight="1" x14ac:dyDescent="0.35">
      <c r="A25" s="8"/>
      <c r="B25" s="13"/>
      <c r="C25" s="9"/>
      <c r="D25" s="9"/>
      <c r="E25" s="9"/>
      <c r="F25" s="9"/>
      <c r="G25" s="9"/>
      <c r="H25" s="13"/>
      <c r="I25" s="9"/>
      <c r="J25" s="9"/>
      <c r="K25" s="9"/>
      <c r="L25" s="9"/>
      <c r="M25" s="16"/>
      <c r="N25" s="8"/>
      <c r="AB25" s="49" t="s">
        <v>969</v>
      </c>
      <c r="AC25" s="49" cm="1">
        <f t="array" ref="AC25">SUMPRODUCT((TEXT(tblForecast[Week],"yyyy-mm")=$AB25)*(IF($AC$3="*",1,--(tblForecast[Program]=$AC$3)))*tblForecast[Forecast_Qty])</f>
        <v>15303</v>
      </c>
      <c r="AD25" s="49" cm="1">
        <f t="array" ref="AD25">SUMPRODUCT((TEXT(tblForecast[Week],"yyyy-mm")=$AB25)*(IF($AC$3="*",1,--(tblForecast[Program]=$AC$3)))*tblForecast[Actual_Demand])</f>
        <v>15476</v>
      </c>
      <c r="AE25" s="49"/>
      <c r="AF25" s="49"/>
      <c r="AG25" s="49"/>
      <c r="AH25" s="49"/>
    </row>
    <row r="26" spans="1:34" ht="18" customHeight="1" x14ac:dyDescent="0.35">
      <c r="A26" s="8"/>
      <c r="B26" s="13"/>
      <c r="C26" s="9"/>
      <c r="D26" s="9"/>
      <c r="E26" s="9"/>
      <c r="F26" s="9"/>
      <c r="G26" s="9"/>
      <c r="H26" s="13"/>
      <c r="I26" s="9"/>
      <c r="J26" s="9"/>
      <c r="K26" s="9"/>
      <c r="L26" s="9"/>
      <c r="M26" s="16"/>
      <c r="N26" s="8"/>
      <c r="AB26" s="49" t="s">
        <v>970</v>
      </c>
      <c r="AC26" s="49" cm="1">
        <f t="array" ref="AC26">SUMPRODUCT((TEXT(tblForecast[Week],"yyyy-mm")=$AB26)*(IF($AC$3="*",1,--(tblForecast[Program]=$AC$3)))*tblForecast[Forecast_Qty])</f>
        <v>19153</v>
      </c>
      <c r="AD26" s="49" cm="1">
        <f t="array" ref="AD26">SUMPRODUCT((TEXT(tblForecast[Week],"yyyy-mm")=$AB26)*(IF($AC$3="*",1,--(tblForecast[Program]=$AC$3)))*tblForecast[Actual_Demand])</f>
        <v>19163</v>
      </c>
      <c r="AE26" s="49"/>
      <c r="AF26" s="49"/>
      <c r="AG26" s="49"/>
      <c r="AH26" s="49"/>
    </row>
    <row r="27" spans="1:34" ht="18" customHeight="1" x14ac:dyDescent="0.35">
      <c r="A27" s="8"/>
      <c r="B27" s="13"/>
      <c r="C27" s="9"/>
      <c r="D27" s="9"/>
      <c r="E27" s="9"/>
      <c r="F27" s="9"/>
      <c r="G27" s="9"/>
      <c r="H27" s="13"/>
      <c r="I27" s="9"/>
      <c r="J27" s="9"/>
      <c r="K27" s="9"/>
      <c r="L27" s="9"/>
      <c r="M27" s="16"/>
      <c r="N27" s="8"/>
      <c r="AB27" s="49"/>
      <c r="AC27" s="49"/>
      <c r="AD27" s="49"/>
      <c r="AE27" s="49"/>
      <c r="AF27" s="49"/>
      <c r="AG27" s="49"/>
      <c r="AH27" s="49"/>
    </row>
    <row r="28" spans="1:34" ht="18" customHeight="1" x14ac:dyDescent="0.35">
      <c r="A28" s="8"/>
      <c r="B28" s="13"/>
      <c r="C28" s="9"/>
      <c r="D28" s="9"/>
      <c r="E28" s="9"/>
      <c r="F28" s="9"/>
      <c r="G28" s="9"/>
      <c r="H28" s="13"/>
      <c r="I28" s="9"/>
      <c r="J28" s="9"/>
      <c r="K28" s="9"/>
      <c r="L28" s="9"/>
      <c r="M28" s="16"/>
      <c r="N28" s="8"/>
      <c r="AB28" s="48" t="s">
        <v>971</v>
      </c>
      <c r="AC28" s="49"/>
      <c r="AD28" s="49"/>
      <c r="AE28" s="49"/>
      <c r="AF28" s="49"/>
      <c r="AG28" s="49"/>
      <c r="AH28" s="49"/>
    </row>
    <row r="29" spans="1:34" ht="18" customHeight="1" x14ac:dyDescent="0.35">
      <c r="A29" s="8"/>
      <c r="B29" s="13"/>
      <c r="C29" s="9"/>
      <c r="D29" s="9"/>
      <c r="E29" s="9"/>
      <c r="F29" s="9"/>
      <c r="G29" s="9"/>
      <c r="H29" s="13"/>
      <c r="I29" s="9"/>
      <c r="J29" s="9"/>
      <c r="K29" s="9"/>
      <c r="L29" s="9"/>
      <c r="M29" s="16"/>
      <c r="N29" s="8"/>
      <c r="AB29" s="49" t="s">
        <v>139</v>
      </c>
      <c r="AC29" s="49" t="s">
        <v>972</v>
      </c>
      <c r="AD29" s="49"/>
      <c r="AE29" s="49"/>
      <c r="AF29" s="49"/>
      <c r="AG29" s="49"/>
      <c r="AH29" s="49"/>
    </row>
    <row r="30" spans="1:34" ht="18" customHeight="1" x14ac:dyDescent="0.35">
      <c r="A30" s="8"/>
      <c r="B30" s="14"/>
      <c r="C30" s="11"/>
      <c r="D30" s="11"/>
      <c r="E30" s="11"/>
      <c r="F30" s="11"/>
      <c r="G30" s="11"/>
      <c r="H30" s="14"/>
      <c r="I30" s="11"/>
      <c r="J30" s="11"/>
      <c r="K30" s="11"/>
      <c r="L30" s="11"/>
      <c r="M30" s="17"/>
      <c r="N30" s="8"/>
      <c r="AB30" s="49" t="s">
        <v>146</v>
      </c>
      <c r="AC30" s="49">
        <f>COUNTIFS(tblPO[Status],$AB30,tblPO[Region],$AC$2)</f>
        <v>80</v>
      </c>
      <c r="AD30" s="49"/>
      <c r="AE30" s="49"/>
      <c r="AF30" s="49"/>
      <c r="AG30" s="49"/>
      <c r="AH30" s="49"/>
    </row>
    <row r="31" spans="1:34" ht="14" customHeight="1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AB31" s="49" t="s">
        <v>170</v>
      </c>
      <c r="AC31" s="49">
        <f>COUNTIFS(tblPO[Status],$AB31,tblPO[Region],$AC$2)</f>
        <v>104</v>
      </c>
      <c r="AD31" s="49"/>
      <c r="AE31" s="49"/>
      <c r="AF31" s="49"/>
      <c r="AG31" s="49"/>
      <c r="AH31" s="49"/>
    </row>
    <row r="32" spans="1:34" ht="22" customHeight="1" x14ac:dyDescent="0.35">
      <c r="A32" s="8"/>
      <c r="B32" s="60" t="s">
        <v>1003</v>
      </c>
      <c r="C32" s="51"/>
      <c r="D32" s="51"/>
      <c r="E32" s="51"/>
      <c r="F32" s="51"/>
      <c r="G32" s="8"/>
      <c r="H32" s="60" t="s">
        <v>1004</v>
      </c>
      <c r="I32" s="51"/>
      <c r="J32" s="51"/>
      <c r="K32" s="51"/>
      <c r="L32" s="51"/>
      <c r="M32" s="51"/>
      <c r="N32" s="8"/>
      <c r="AB32" s="49" t="s">
        <v>159</v>
      </c>
      <c r="AC32" s="49">
        <f>COUNTIFS(tblPO[Status],$AB32,tblPO[Region],$AC$2)</f>
        <v>68</v>
      </c>
      <c r="AD32" s="49"/>
      <c r="AE32" s="49"/>
      <c r="AF32" s="49"/>
      <c r="AG32" s="49"/>
      <c r="AH32" s="49"/>
    </row>
    <row r="33" spans="1:34" ht="22" customHeight="1" x14ac:dyDescent="0.35">
      <c r="A33" s="8"/>
      <c r="B33" s="18" t="s">
        <v>979</v>
      </c>
      <c r="C33" s="19" t="s">
        <v>2</v>
      </c>
      <c r="D33" s="19" t="s">
        <v>980</v>
      </c>
      <c r="E33" s="19" t="s">
        <v>984</v>
      </c>
      <c r="F33" s="20" t="s">
        <v>982</v>
      </c>
      <c r="G33" s="8"/>
      <c r="H33" s="36" t="s">
        <v>988</v>
      </c>
      <c r="I33" s="37" t="s">
        <v>989</v>
      </c>
      <c r="J33" s="37" t="s">
        <v>119</v>
      </c>
      <c r="K33" s="37" t="s">
        <v>987</v>
      </c>
      <c r="L33" s="37" t="s">
        <v>986</v>
      </c>
      <c r="M33" s="38" t="s">
        <v>982</v>
      </c>
      <c r="N33" s="8"/>
      <c r="AB33" s="49" t="s">
        <v>195</v>
      </c>
      <c r="AC33" s="49">
        <f>COUNTIFS(tblPO[Status],$AB33,tblPO[Region],$AC$2)</f>
        <v>98</v>
      </c>
      <c r="AD33" s="49"/>
      <c r="AE33" s="49"/>
      <c r="AF33" s="49"/>
      <c r="AG33" s="49"/>
      <c r="AH33" s="49"/>
    </row>
    <row r="34" spans="1:34" ht="22" customHeight="1" x14ac:dyDescent="0.35">
      <c r="A34" s="8"/>
      <c r="B34" s="21">
        <f>AB44</f>
        <v>1</v>
      </c>
      <c r="C34" s="22" t="str">
        <f>AC44</f>
        <v>Supplier 13</v>
      </c>
      <c r="D34" s="23">
        <f>AD44</f>
        <v>0.96099999999999997</v>
      </c>
      <c r="E34" s="24">
        <f>AE44</f>
        <v>20.38</v>
      </c>
      <c r="F34" s="25" t="str">
        <f>AF44</f>
        <v>MEDIUM</v>
      </c>
      <c r="G34" s="8"/>
      <c r="H34" s="21" t="str">
        <f>AD70</f>
        <v>P1002</v>
      </c>
      <c r="I34" s="22" t="str">
        <f>AE70</f>
        <v>SSD</v>
      </c>
      <c r="J34" s="22" t="str">
        <f>AF70</f>
        <v>BRH</v>
      </c>
      <c r="K34" s="39">
        <f>AG70</f>
        <v>20</v>
      </c>
      <c r="L34" s="40">
        <f>AC70</f>
        <v>0.3</v>
      </c>
      <c r="M34" s="41" t="str">
        <f>AH70</f>
        <v>CRITICAL</v>
      </c>
      <c r="N34" s="8"/>
      <c r="AB34" s="49"/>
      <c r="AC34" s="49"/>
      <c r="AD34" s="49"/>
      <c r="AE34" s="49"/>
      <c r="AF34" s="49"/>
      <c r="AG34" s="49"/>
      <c r="AH34" s="49"/>
    </row>
    <row r="35" spans="1:34" ht="22" customHeight="1" x14ac:dyDescent="0.35">
      <c r="A35" s="8"/>
      <c r="B35" s="31">
        <f t="shared" ref="B35:F35" si="0">AB45</f>
        <v>2</v>
      </c>
      <c r="C35" s="32" t="str">
        <f t="shared" si="0"/>
        <v>Supplier 4</v>
      </c>
      <c r="D35" s="33">
        <f t="shared" si="0"/>
        <v>0.95099999999999996</v>
      </c>
      <c r="E35" s="34">
        <f t="shared" si="0"/>
        <v>5.58</v>
      </c>
      <c r="F35" s="35" t="str">
        <f t="shared" si="0"/>
        <v>MEDIUM</v>
      </c>
      <c r="G35" s="8"/>
      <c r="H35" s="31" t="str">
        <f t="shared" ref="H35:K35" si="1">AD71</f>
        <v>P1017</v>
      </c>
      <c r="I35" s="32" t="str">
        <f t="shared" si="1"/>
        <v>LCD Bezel</v>
      </c>
      <c r="J35" s="32" t="str">
        <f t="shared" si="1"/>
        <v>APJ</v>
      </c>
      <c r="K35" s="45">
        <f t="shared" si="1"/>
        <v>23</v>
      </c>
      <c r="L35" s="46">
        <f t="shared" ref="L35:L38" si="2">AC71</f>
        <v>0.3</v>
      </c>
      <c r="M35" s="47" t="str">
        <f t="shared" ref="M35:M38" si="3">AH71</f>
        <v>CRITICAL</v>
      </c>
      <c r="N35" s="8"/>
      <c r="AB35" s="48" t="s">
        <v>973</v>
      </c>
      <c r="AC35" s="49"/>
      <c r="AD35" s="49"/>
      <c r="AE35" s="49"/>
      <c r="AF35" s="49"/>
      <c r="AG35" s="49"/>
      <c r="AH35" s="49"/>
    </row>
    <row r="36" spans="1:34" ht="22" customHeight="1" x14ac:dyDescent="0.35">
      <c r="A36" s="8"/>
      <c r="B36" s="21">
        <f t="shared" ref="B36:F36" si="4">AB46</f>
        <v>3</v>
      </c>
      <c r="C36" s="22" t="str">
        <f t="shared" si="4"/>
        <v>Supplier 2</v>
      </c>
      <c r="D36" s="23">
        <f t="shared" si="4"/>
        <v>0.91599999999999993</v>
      </c>
      <c r="E36" s="24">
        <f t="shared" si="4"/>
        <v>20.81</v>
      </c>
      <c r="F36" s="25" t="str">
        <f t="shared" si="4"/>
        <v>HIGH</v>
      </c>
      <c r="G36" s="8"/>
      <c r="H36" s="21" t="str">
        <f t="shared" ref="H36:K36" si="5">AD72</f>
        <v>P1017</v>
      </c>
      <c r="I36" s="22" t="str">
        <f t="shared" si="5"/>
        <v>LCD Bezel</v>
      </c>
      <c r="J36" s="22" t="str">
        <f t="shared" si="5"/>
        <v>EMEA</v>
      </c>
      <c r="K36" s="39">
        <f t="shared" si="5"/>
        <v>8</v>
      </c>
      <c r="L36" s="40">
        <f t="shared" si="2"/>
        <v>0.5</v>
      </c>
      <c r="M36" s="41" t="str">
        <f t="shared" si="3"/>
        <v>CRITICAL</v>
      </c>
      <c r="N36" s="8"/>
      <c r="AB36" s="49" t="s">
        <v>119</v>
      </c>
      <c r="AC36" s="49" t="s">
        <v>974</v>
      </c>
      <c r="AD36" s="49" t="s">
        <v>975</v>
      </c>
      <c r="AE36" s="49" t="s">
        <v>976</v>
      </c>
      <c r="AF36" s="49" t="s">
        <v>977</v>
      </c>
      <c r="AG36" s="49"/>
      <c r="AH36" s="49"/>
    </row>
    <row r="37" spans="1:34" ht="22" customHeight="1" x14ac:dyDescent="0.35">
      <c r="A37" s="8"/>
      <c r="B37" s="31">
        <f t="shared" ref="B37:F37" si="6">AB47</f>
        <v>4</v>
      </c>
      <c r="C37" s="32" t="str">
        <f t="shared" si="6"/>
        <v>Supplier 1</v>
      </c>
      <c r="D37" s="33">
        <f t="shared" si="6"/>
        <v>0.91400000000000003</v>
      </c>
      <c r="E37" s="34">
        <f t="shared" si="6"/>
        <v>3.47</v>
      </c>
      <c r="F37" s="35" t="str">
        <f t="shared" si="6"/>
        <v>LOW</v>
      </c>
      <c r="G37" s="8"/>
      <c r="H37" s="31" t="str">
        <f t="shared" ref="H37:K37" si="7">AD73</f>
        <v>P1016</v>
      </c>
      <c r="I37" s="32" t="str">
        <f t="shared" si="7"/>
        <v>Luggage Tag Kit</v>
      </c>
      <c r="J37" s="32" t="str">
        <f t="shared" si="7"/>
        <v>NAM</v>
      </c>
      <c r="K37" s="45">
        <f t="shared" si="7"/>
        <v>43</v>
      </c>
      <c r="L37" s="46">
        <f t="shared" si="2"/>
        <v>1.2</v>
      </c>
      <c r="M37" s="47" t="str">
        <f t="shared" si="3"/>
        <v>CRITICAL</v>
      </c>
      <c r="N37" s="8"/>
      <c r="AB37" s="49" t="s">
        <v>127</v>
      </c>
      <c r="AC37" s="49">
        <f>COUNTIFS(tblInventory[Region],$AB37,tblInventory[Shortage_Risk],"LOW")</f>
        <v>7</v>
      </c>
      <c r="AD37" s="49">
        <f>COUNTIFS(tblInventory[Region],$AB37,tblInventory[Shortage_Risk],"MEDIUM")</f>
        <v>5</v>
      </c>
      <c r="AE37" s="49">
        <f>COUNTIFS(tblInventory[Region],$AB37,tblInventory[Shortage_Risk],"HIGH")</f>
        <v>6</v>
      </c>
      <c r="AF37" s="49">
        <f>COUNTIFS(tblInventory[Region],$AB37,tblInventory[Shortage_Risk],"CRITICAL")</f>
        <v>2</v>
      </c>
      <c r="AG37" s="49"/>
      <c r="AH37" s="49"/>
    </row>
    <row r="38" spans="1:34" ht="22" customHeight="1" x14ac:dyDescent="0.35">
      <c r="A38" s="8"/>
      <c r="B38" s="26">
        <f t="shared" ref="B38:F38" si="8">AB48</f>
        <v>5</v>
      </c>
      <c r="C38" s="27" t="str">
        <f t="shared" si="8"/>
        <v>Supplier 9</v>
      </c>
      <c r="D38" s="28">
        <f t="shared" si="8"/>
        <v>0.91099999999999992</v>
      </c>
      <c r="E38" s="29">
        <f t="shared" si="8"/>
        <v>22.82</v>
      </c>
      <c r="F38" s="30" t="str">
        <f t="shared" si="8"/>
        <v>MEDIUM</v>
      </c>
      <c r="G38" s="8"/>
      <c r="H38" s="26" t="str">
        <f t="shared" ref="H38:K38" si="9">AD74</f>
        <v>P1015</v>
      </c>
      <c r="I38" s="27" t="str">
        <f t="shared" si="9"/>
        <v>Luggage Tag Kit</v>
      </c>
      <c r="J38" s="27" t="str">
        <f t="shared" si="9"/>
        <v>APJ</v>
      </c>
      <c r="K38" s="42">
        <f t="shared" si="9"/>
        <v>76</v>
      </c>
      <c r="L38" s="43">
        <f t="shared" si="2"/>
        <v>2</v>
      </c>
      <c r="M38" s="44" t="str">
        <f t="shared" si="3"/>
        <v>CRITICAL</v>
      </c>
      <c r="N38" s="8"/>
      <c r="AB38" s="49" t="s">
        <v>128</v>
      </c>
      <c r="AC38" s="49">
        <f>COUNTIFS(tblInventory[Region],$AB38,tblInventory[Shortage_Risk],"LOW")</f>
        <v>3</v>
      </c>
      <c r="AD38" s="49">
        <f>COUNTIFS(tblInventory[Region],$AB38,tblInventory[Shortage_Risk],"MEDIUM")</f>
        <v>4</v>
      </c>
      <c r="AE38" s="49">
        <f>COUNTIFS(tblInventory[Region],$AB38,tblInventory[Shortage_Risk],"HIGH")</f>
        <v>12</v>
      </c>
      <c r="AF38" s="49">
        <f>COUNTIFS(tblInventory[Region],$AB38,tblInventory[Shortage_Risk],"CRITICAL")</f>
        <v>1</v>
      </c>
      <c r="AG38" s="49"/>
      <c r="AH38" s="49"/>
    </row>
    <row r="39" spans="1:34" ht="18" customHeight="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AB39" s="49" t="s">
        <v>129</v>
      </c>
      <c r="AC39" s="49">
        <f>COUNTIFS(tblInventory[Region],$AB39,tblInventory[Shortage_Risk],"LOW")</f>
        <v>6</v>
      </c>
      <c r="AD39" s="49">
        <f>COUNTIFS(tblInventory[Region],$AB39,tblInventory[Shortage_Risk],"MEDIUM")</f>
        <v>7</v>
      </c>
      <c r="AE39" s="49">
        <f>COUNTIFS(tblInventory[Region],$AB39,tblInventory[Shortage_Risk],"HIGH")</f>
        <v>3</v>
      </c>
      <c r="AF39" s="49">
        <f>COUNTIFS(tblInventory[Region],$AB39,tblInventory[Shortage_Risk],"CRITICAL")</f>
        <v>4</v>
      </c>
      <c r="AG39" s="49"/>
      <c r="AH39" s="49"/>
    </row>
    <row r="40" spans="1:34" ht="22" customHeight="1" thickBot="1" x14ac:dyDescent="0.4">
      <c r="A40" s="8"/>
      <c r="B40" s="59" t="s">
        <v>1005</v>
      </c>
      <c r="C40" s="51"/>
      <c r="D40" s="51"/>
      <c r="E40" s="51"/>
      <c r="F40" s="51"/>
      <c r="G40" s="51"/>
      <c r="H40" s="59" t="s">
        <v>1006</v>
      </c>
      <c r="I40" s="51"/>
      <c r="J40" s="51"/>
      <c r="K40" s="51"/>
      <c r="L40" s="51"/>
      <c r="M40" s="51"/>
      <c r="N40" s="8"/>
      <c r="AB40" s="49" t="s">
        <v>130</v>
      </c>
      <c r="AC40" s="49">
        <f>COUNTIFS(tblInventory[Region],$AB40,tblInventory[Shortage_Risk],"LOW")</f>
        <v>2</v>
      </c>
      <c r="AD40" s="49">
        <f>COUNTIFS(tblInventory[Region],$AB40,tblInventory[Shortage_Risk],"MEDIUM")</f>
        <v>5</v>
      </c>
      <c r="AE40" s="49">
        <f>COUNTIFS(tblInventory[Region],$AB40,tblInventory[Shortage_Risk],"HIGH")</f>
        <v>12</v>
      </c>
      <c r="AF40" s="49">
        <f>COUNTIFS(tblInventory[Region],$AB40,tblInventory[Shortage_Risk],"CRITICAL")</f>
        <v>1</v>
      </c>
      <c r="AG40" s="49"/>
      <c r="AH40" s="49"/>
    </row>
    <row r="41" spans="1:34" ht="6" customHeight="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AB41" s="49"/>
      <c r="AC41" s="49"/>
      <c r="AD41" s="49"/>
      <c r="AE41" s="49"/>
      <c r="AF41" s="49"/>
      <c r="AG41" s="49"/>
      <c r="AH41" s="49"/>
    </row>
    <row r="42" spans="1:34" ht="18" customHeight="1" x14ac:dyDescent="0.35">
      <c r="A42" s="8"/>
      <c r="B42" s="12"/>
      <c r="C42" s="10"/>
      <c r="D42" s="10"/>
      <c r="E42" s="10"/>
      <c r="F42" s="10"/>
      <c r="G42" s="10"/>
      <c r="H42" s="12"/>
      <c r="I42" s="10"/>
      <c r="J42" s="10"/>
      <c r="K42" s="10"/>
      <c r="L42" s="10"/>
      <c r="M42" s="15"/>
      <c r="N42" s="8"/>
      <c r="AB42" s="48" t="s">
        <v>978</v>
      </c>
      <c r="AC42" s="49"/>
      <c r="AD42" s="49"/>
      <c r="AE42" s="49"/>
      <c r="AF42" s="49"/>
      <c r="AG42" s="49"/>
      <c r="AH42" s="49"/>
    </row>
    <row r="43" spans="1:34" ht="18" customHeight="1" x14ac:dyDescent="0.35">
      <c r="A43" s="8"/>
      <c r="B43" s="13"/>
      <c r="C43" s="9"/>
      <c r="D43" s="9"/>
      <c r="E43" s="9"/>
      <c r="F43" s="9"/>
      <c r="G43" s="9"/>
      <c r="H43" s="13"/>
      <c r="I43" s="9"/>
      <c r="J43" s="9"/>
      <c r="K43" s="9"/>
      <c r="L43" s="9"/>
      <c r="M43" s="16"/>
      <c r="N43" s="8"/>
      <c r="AB43" s="49" t="s">
        <v>979</v>
      </c>
      <c r="AC43" s="49" t="s">
        <v>2</v>
      </c>
      <c r="AD43" s="49" t="s">
        <v>980</v>
      </c>
      <c r="AE43" s="49" t="s">
        <v>981</v>
      </c>
      <c r="AF43" s="49" t="s">
        <v>982</v>
      </c>
      <c r="AG43" s="49"/>
      <c r="AH43" s="49"/>
    </row>
    <row r="44" spans="1:34" ht="18" customHeight="1" x14ac:dyDescent="0.35">
      <c r="A44" s="8"/>
      <c r="B44" s="13"/>
      <c r="C44" s="9"/>
      <c r="D44" s="9"/>
      <c r="E44" s="9"/>
      <c r="F44" s="9"/>
      <c r="G44" s="9"/>
      <c r="H44" s="13"/>
      <c r="I44" s="9"/>
      <c r="J44" s="9"/>
      <c r="K44" s="9"/>
      <c r="L44" s="9"/>
      <c r="M44" s="16"/>
      <c r="N44" s="8"/>
      <c r="AB44" s="49">
        <v>1</v>
      </c>
      <c r="AC44" s="49" t="str">
        <f>INDEX(tblSupplier[Supplier],MATCH(LARGE(tblSupplier[On_Time_Delivery_Pct],$AB44),tblSupplier[On_Time_Delivery_Pct],0))</f>
        <v>Supplier 13</v>
      </c>
      <c r="AD44" s="49">
        <f>LARGE(tblSupplier[On_Time_Delivery_Pct],$AB44)/100</f>
        <v>0.96099999999999997</v>
      </c>
      <c r="AE44" s="49">
        <f>_xlfn.XLOOKUP($AC44,tblSupplier[Supplier],tblSupplier[Total_Spend_USD_M])</f>
        <v>20.38</v>
      </c>
      <c r="AF44" s="49" t="str">
        <f>_xlfn.XLOOKUP($AC44,tblSupplier[Supplier],tblSupplier[Risk_Rating])</f>
        <v>MEDIUM</v>
      </c>
      <c r="AG44" s="49"/>
      <c r="AH44" s="49"/>
    </row>
    <row r="45" spans="1:34" ht="18" customHeight="1" x14ac:dyDescent="0.35">
      <c r="A45" s="8"/>
      <c r="B45" s="13"/>
      <c r="C45" s="9"/>
      <c r="D45" s="9"/>
      <c r="E45" s="9"/>
      <c r="F45" s="9"/>
      <c r="G45" s="9"/>
      <c r="H45" s="13"/>
      <c r="I45" s="9"/>
      <c r="J45" s="9"/>
      <c r="K45" s="9"/>
      <c r="L45" s="9"/>
      <c r="M45" s="16"/>
      <c r="N45" s="8"/>
      <c r="AB45" s="49">
        <v>2</v>
      </c>
      <c r="AC45" s="49" t="str">
        <f>INDEX(tblSupplier[Supplier],MATCH(LARGE(tblSupplier[On_Time_Delivery_Pct],$AB45),tblSupplier[On_Time_Delivery_Pct],0))</f>
        <v>Supplier 4</v>
      </c>
      <c r="AD45" s="49">
        <f>LARGE(tblSupplier[On_Time_Delivery_Pct],$AB45)/100</f>
        <v>0.95099999999999996</v>
      </c>
      <c r="AE45" s="49">
        <f>_xlfn.XLOOKUP($AC45,tblSupplier[Supplier],tblSupplier[Total_Spend_USD_M])</f>
        <v>5.58</v>
      </c>
      <c r="AF45" s="49" t="str">
        <f>_xlfn.XLOOKUP($AC45,tblSupplier[Supplier],tblSupplier[Risk_Rating])</f>
        <v>MEDIUM</v>
      </c>
      <c r="AG45" s="49"/>
      <c r="AH45" s="49"/>
    </row>
    <row r="46" spans="1:34" ht="18" customHeight="1" x14ac:dyDescent="0.35">
      <c r="A46" s="8"/>
      <c r="B46" s="13"/>
      <c r="C46" s="9"/>
      <c r="D46" s="9"/>
      <c r="E46" s="9"/>
      <c r="F46" s="9"/>
      <c r="G46" s="9"/>
      <c r="H46" s="13"/>
      <c r="I46" s="9"/>
      <c r="J46" s="9"/>
      <c r="K46" s="9"/>
      <c r="L46" s="9"/>
      <c r="M46" s="16"/>
      <c r="N46" s="8"/>
      <c r="AB46" s="49">
        <v>3</v>
      </c>
      <c r="AC46" s="49" t="str">
        <f>INDEX(tblSupplier[Supplier],MATCH(LARGE(tblSupplier[On_Time_Delivery_Pct],$AB46),tblSupplier[On_Time_Delivery_Pct],0))</f>
        <v>Supplier 2</v>
      </c>
      <c r="AD46" s="49">
        <f>LARGE(tblSupplier[On_Time_Delivery_Pct],$AB46)/100</f>
        <v>0.91599999999999993</v>
      </c>
      <c r="AE46" s="49">
        <f>_xlfn.XLOOKUP($AC46,tblSupplier[Supplier],tblSupplier[Total_Spend_USD_M])</f>
        <v>20.81</v>
      </c>
      <c r="AF46" s="49" t="str">
        <f>_xlfn.XLOOKUP($AC46,tblSupplier[Supplier],tblSupplier[Risk_Rating])</f>
        <v>HIGH</v>
      </c>
      <c r="AG46" s="49"/>
      <c r="AH46" s="49"/>
    </row>
    <row r="47" spans="1:34" ht="18" customHeight="1" x14ac:dyDescent="0.35">
      <c r="A47" s="8"/>
      <c r="B47" s="13"/>
      <c r="C47" s="9"/>
      <c r="D47" s="9"/>
      <c r="E47" s="9"/>
      <c r="F47" s="9"/>
      <c r="G47" s="9"/>
      <c r="H47" s="13"/>
      <c r="I47" s="9"/>
      <c r="J47" s="9"/>
      <c r="K47" s="9"/>
      <c r="L47" s="9"/>
      <c r="M47" s="16"/>
      <c r="N47" s="8"/>
      <c r="AB47" s="49">
        <v>4</v>
      </c>
      <c r="AC47" s="49" t="str">
        <f>INDEX(tblSupplier[Supplier],MATCH(LARGE(tblSupplier[On_Time_Delivery_Pct],$AB47),tblSupplier[On_Time_Delivery_Pct],0))</f>
        <v>Supplier 1</v>
      </c>
      <c r="AD47" s="49">
        <f>LARGE(tblSupplier[On_Time_Delivery_Pct],$AB47)/100</f>
        <v>0.91400000000000003</v>
      </c>
      <c r="AE47" s="49">
        <f>_xlfn.XLOOKUP($AC47,tblSupplier[Supplier],tblSupplier[Total_Spend_USD_M])</f>
        <v>3.47</v>
      </c>
      <c r="AF47" s="49" t="str">
        <f>_xlfn.XLOOKUP($AC47,tblSupplier[Supplier],tblSupplier[Risk_Rating])</f>
        <v>LOW</v>
      </c>
      <c r="AG47" s="49"/>
      <c r="AH47" s="49"/>
    </row>
    <row r="48" spans="1:34" ht="18" customHeight="1" x14ac:dyDescent="0.35">
      <c r="A48" s="8"/>
      <c r="B48" s="13"/>
      <c r="C48" s="9"/>
      <c r="D48" s="9"/>
      <c r="E48" s="9"/>
      <c r="F48" s="9"/>
      <c r="G48" s="9"/>
      <c r="H48" s="13"/>
      <c r="I48" s="9"/>
      <c r="J48" s="9"/>
      <c r="K48" s="9"/>
      <c r="L48" s="9"/>
      <c r="M48" s="16"/>
      <c r="N48" s="8"/>
      <c r="AB48" s="49">
        <v>5</v>
      </c>
      <c r="AC48" s="49" t="str">
        <f>INDEX(tblSupplier[Supplier],MATCH(LARGE(tblSupplier[On_Time_Delivery_Pct],$AB48),tblSupplier[On_Time_Delivery_Pct],0))</f>
        <v>Supplier 9</v>
      </c>
      <c r="AD48" s="49">
        <f>LARGE(tblSupplier[On_Time_Delivery_Pct],$AB48)/100</f>
        <v>0.91099999999999992</v>
      </c>
      <c r="AE48" s="49">
        <f>_xlfn.XLOOKUP($AC48,tblSupplier[Supplier],tblSupplier[Total_Spend_USD_M])</f>
        <v>22.82</v>
      </c>
      <c r="AF48" s="49" t="str">
        <f>_xlfn.XLOOKUP($AC48,tblSupplier[Supplier],tblSupplier[Risk_Rating])</f>
        <v>MEDIUM</v>
      </c>
      <c r="AG48" s="49"/>
      <c r="AH48" s="49"/>
    </row>
    <row r="49" spans="1:34" ht="18" customHeight="1" x14ac:dyDescent="0.35">
      <c r="A49" s="8"/>
      <c r="B49" s="13"/>
      <c r="C49" s="9"/>
      <c r="D49" s="9"/>
      <c r="E49" s="9"/>
      <c r="F49" s="9"/>
      <c r="G49" s="9"/>
      <c r="H49" s="13"/>
      <c r="I49" s="9"/>
      <c r="J49" s="9"/>
      <c r="K49" s="9"/>
      <c r="L49" s="9"/>
      <c r="M49" s="16"/>
      <c r="N49" s="8"/>
      <c r="AB49" s="49">
        <v>6</v>
      </c>
      <c r="AC49" s="49" t="str">
        <f>INDEX(tblSupplier[Supplier],MATCH(LARGE(tblSupplier[On_Time_Delivery_Pct],$AB49),tblSupplier[On_Time_Delivery_Pct],0))</f>
        <v>Supplier 5</v>
      </c>
      <c r="AD49" s="49">
        <f>LARGE(tblSupplier[On_Time_Delivery_Pct],$AB49)/100</f>
        <v>0.90300000000000002</v>
      </c>
      <c r="AE49" s="49">
        <f>_xlfn.XLOOKUP($AC49,tblSupplier[Supplier],tblSupplier[Total_Spend_USD_M])</f>
        <v>15.24</v>
      </c>
      <c r="AF49" s="49" t="str">
        <f>_xlfn.XLOOKUP($AC49,tblSupplier[Supplier],tblSupplier[Risk_Rating])</f>
        <v>MEDIUM</v>
      </c>
      <c r="AG49" s="49"/>
      <c r="AH49" s="49"/>
    </row>
    <row r="50" spans="1:34" ht="18" customHeight="1" x14ac:dyDescent="0.35">
      <c r="A50" s="8"/>
      <c r="B50" s="13"/>
      <c r="C50" s="9"/>
      <c r="D50" s="9"/>
      <c r="E50" s="9"/>
      <c r="F50" s="9"/>
      <c r="G50" s="9"/>
      <c r="H50" s="13"/>
      <c r="I50" s="9"/>
      <c r="J50" s="9"/>
      <c r="K50" s="9"/>
      <c r="L50" s="9"/>
      <c r="M50" s="16"/>
      <c r="N50" s="8"/>
      <c r="AB50" s="49">
        <v>7</v>
      </c>
      <c r="AC50" s="49" t="str">
        <f>INDEX(tblSupplier[Supplier],MATCH(LARGE(tblSupplier[On_Time_Delivery_Pct],$AB50),tblSupplier[On_Time_Delivery_Pct],0))</f>
        <v>Supplier 12</v>
      </c>
      <c r="AD50" s="49">
        <f>LARGE(tblSupplier[On_Time_Delivery_Pct],$AB50)/100</f>
        <v>0.87</v>
      </c>
      <c r="AE50" s="49">
        <f>_xlfn.XLOOKUP($AC50,tblSupplier[Supplier],tblSupplier[Total_Spend_USD_M])</f>
        <v>24.25</v>
      </c>
      <c r="AF50" s="49" t="str">
        <f>_xlfn.XLOOKUP($AC50,tblSupplier[Supplier],tblSupplier[Risk_Rating])</f>
        <v>HIGH</v>
      </c>
      <c r="AG50" s="49"/>
      <c r="AH50" s="49"/>
    </row>
    <row r="51" spans="1:34" ht="18" customHeight="1" x14ac:dyDescent="0.35">
      <c r="A51" s="8"/>
      <c r="B51" s="13"/>
      <c r="C51" s="9"/>
      <c r="D51" s="9"/>
      <c r="E51" s="9"/>
      <c r="F51" s="9"/>
      <c r="G51" s="9"/>
      <c r="H51" s="13"/>
      <c r="I51" s="9"/>
      <c r="J51" s="9"/>
      <c r="K51" s="9"/>
      <c r="L51" s="9"/>
      <c r="M51" s="16"/>
      <c r="N51" s="8"/>
      <c r="AB51" s="49">
        <v>8</v>
      </c>
      <c r="AC51" s="49" t="str">
        <f>INDEX(tblSupplier[Supplier],MATCH(LARGE(tblSupplier[On_Time_Delivery_Pct],$AB51),tblSupplier[On_Time_Delivery_Pct],0))</f>
        <v>Supplier 16</v>
      </c>
      <c r="AD51" s="49">
        <f>LARGE(tblSupplier[On_Time_Delivery_Pct],$AB51)/100</f>
        <v>0.85400000000000009</v>
      </c>
      <c r="AE51" s="49">
        <f>_xlfn.XLOOKUP($AC51,tblSupplier[Supplier],tblSupplier[Total_Spend_USD_M])</f>
        <v>16.57</v>
      </c>
      <c r="AF51" s="49" t="str">
        <f>_xlfn.XLOOKUP($AC51,tblSupplier[Supplier],tblSupplier[Risk_Rating])</f>
        <v>LOW</v>
      </c>
      <c r="AG51" s="49"/>
      <c r="AH51" s="49"/>
    </row>
    <row r="52" spans="1:34" ht="18" customHeight="1" x14ac:dyDescent="0.35">
      <c r="A52" s="8"/>
      <c r="B52" s="13"/>
      <c r="C52" s="9"/>
      <c r="D52" s="9"/>
      <c r="E52" s="9"/>
      <c r="F52" s="9"/>
      <c r="G52" s="9"/>
      <c r="H52" s="13"/>
      <c r="I52" s="9"/>
      <c r="J52" s="9"/>
      <c r="K52" s="9"/>
      <c r="L52" s="9"/>
      <c r="M52" s="16"/>
      <c r="N52" s="8"/>
      <c r="AB52" s="49">
        <v>9</v>
      </c>
      <c r="AC52" s="49" t="str">
        <f>INDEX(tblSupplier[Supplier],MATCH(LARGE(tblSupplier[On_Time_Delivery_Pct],$AB52),tblSupplier[On_Time_Delivery_Pct],0))</f>
        <v>Supplier 15</v>
      </c>
      <c r="AD52" s="49">
        <f>LARGE(tblSupplier[On_Time_Delivery_Pct],$AB52)/100</f>
        <v>0.84900000000000009</v>
      </c>
      <c r="AE52" s="49">
        <f>_xlfn.XLOOKUP($AC52,tblSupplier[Supplier],tblSupplier[Total_Spend_USD_M])</f>
        <v>26.64</v>
      </c>
      <c r="AF52" s="49" t="str">
        <f>_xlfn.XLOOKUP($AC52,tblSupplier[Supplier],tblSupplier[Risk_Rating])</f>
        <v>MEDIUM</v>
      </c>
      <c r="AG52" s="49"/>
      <c r="AH52" s="49"/>
    </row>
    <row r="53" spans="1:34" ht="18" customHeight="1" x14ac:dyDescent="0.35">
      <c r="A53" s="8"/>
      <c r="B53" s="14"/>
      <c r="C53" s="11"/>
      <c r="D53" s="11"/>
      <c r="E53" s="11"/>
      <c r="F53" s="11"/>
      <c r="G53" s="11"/>
      <c r="H53" s="14"/>
      <c r="I53" s="11"/>
      <c r="J53" s="11"/>
      <c r="K53" s="11"/>
      <c r="L53" s="11"/>
      <c r="M53" s="17"/>
      <c r="N53" s="8"/>
      <c r="AB53" s="49">
        <v>10</v>
      </c>
      <c r="AC53" s="49" t="str">
        <f>INDEX(tblSupplier[Supplier],MATCH(LARGE(tblSupplier[On_Time_Delivery_Pct],$AB53),tblSupplier[On_Time_Delivery_Pct],0))</f>
        <v>Supplier 11</v>
      </c>
      <c r="AD53" s="49">
        <f>LARGE(tblSupplier[On_Time_Delivery_Pct],$AB53)/100</f>
        <v>0.84299999999999997</v>
      </c>
      <c r="AE53" s="49">
        <f>_xlfn.XLOOKUP($AC53,tblSupplier[Supplier],tblSupplier[Total_Spend_USD_M])</f>
        <v>7.54</v>
      </c>
      <c r="AF53" s="49" t="str">
        <f>_xlfn.XLOOKUP($AC53,tblSupplier[Supplier],tblSupplier[Risk_Rating])</f>
        <v>HIGH</v>
      </c>
      <c r="AG53" s="49"/>
      <c r="AH53" s="49"/>
    </row>
    <row r="54" spans="1:34" ht="14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AB54" s="49">
        <v>11</v>
      </c>
      <c r="AC54" s="49" t="str">
        <f>INDEX(tblSupplier[Supplier],MATCH(LARGE(tblSupplier[On_Time_Delivery_Pct],$AB54),tblSupplier[On_Time_Delivery_Pct],0))</f>
        <v>Supplier 10</v>
      </c>
      <c r="AD54" s="49">
        <f>LARGE(tblSupplier[On_Time_Delivery_Pct],$AB54)/100</f>
        <v>0.82900000000000007</v>
      </c>
      <c r="AE54" s="49">
        <f>_xlfn.XLOOKUP($AC54,tblSupplier[Supplier],tblSupplier[Total_Spend_USD_M])</f>
        <v>22.28</v>
      </c>
      <c r="AF54" s="49" t="str">
        <f>_xlfn.XLOOKUP($AC54,tblSupplier[Supplier],tblSupplier[Risk_Rating])</f>
        <v>LOW</v>
      </c>
      <c r="AG54" s="49"/>
      <c r="AH54" s="49"/>
    </row>
    <row r="55" spans="1:34" ht="22" customHeight="1" x14ac:dyDescent="0.35">
      <c r="A55" s="8"/>
      <c r="B55" s="50" t="s">
        <v>1007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8"/>
      <c r="AB55" s="49">
        <v>12</v>
      </c>
      <c r="AC55" s="49" t="str">
        <f>INDEX(tblSupplier[Supplier],MATCH(LARGE(tblSupplier[On_Time_Delivery_Pct],$AB55),tblSupplier[On_Time_Delivery_Pct],0))</f>
        <v>Supplier 7</v>
      </c>
      <c r="AD55" s="49">
        <f>LARGE(tblSupplier[On_Time_Delivery_Pct],$AB55)/100</f>
        <v>0.81799999999999995</v>
      </c>
      <c r="AE55" s="49">
        <f>_xlfn.XLOOKUP($AC55,tblSupplier[Supplier],tblSupplier[Total_Spend_USD_M])</f>
        <v>25.02</v>
      </c>
      <c r="AF55" s="49" t="str">
        <f>_xlfn.XLOOKUP($AC55,tblSupplier[Supplier],tblSupplier[Risk_Rating])</f>
        <v>LOW</v>
      </c>
      <c r="AG55" s="49"/>
      <c r="AH55" s="49"/>
    </row>
    <row r="56" spans="1:34" ht="18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AB56" s="49">
        <v>13</v>
      </c>
      <c r="AC56" s="49" t="str">
        <f>INDEX(tblSupplier[Supplier],MATCH(LARGE(tblSupplier[On_Time_Delivery_Pct],$AB56),tblSupplier[On_Time_Delivery_Pct],0))</f>
        <v>Supplier 8</v>
      </c>
      <c r="AD56" s="49">
        <f>LARGE(tblSupplier[On_Time_Delivery_Pct],$AB56)/100</f>
        <v>0.79700000000000004</v>
      </c>
      <c r="AE56" s="49">
        <f>_xlfn.XLOOKUP($AC56,tblSupplier[Supplier],tblSupplier[Total_Spend_USD_M])</f>
        <v>19.93</v>
      </c>
      <c r="AF56" s="49" t="str">
        <f>_xlfn.XLOOKUP($AC56,tblSupplier[Supplier],tblSupplier[Risk_Rating])</f>
        <v>HIGH</v>
      </c>
      <c r="AG56" s="49"/>
      <c r="AH56" s="49"/>
    </row>
    <row r="57" spans="1:34" ht="18" customHeight="1" x14ac:dyDescent="0.35">
      <c r="AB57" s="49">
        <v>14</v>
      </c>
      <c r="AC57" s="49" t="str">
        <f>INDEX(tblSupplier[Supplier],MATCH(LARGE(tblSupplier[On_Time_Delivery_Pct],$AB57),tblSupplier[On_Time_Delivery_Pct],0))</f>
        <v>Supplier 6</v>
      </c>
      <c r="AD57" s="49">
        <f>LARGE(tblSupplier[On_Time_Delivery_Pct],$AB57)/100</f>
        <v>0.77800000000000002</v>
      </c>
      <c r="AE57" s="49">
        <f>_xlfn.XLOOKUP($AC57,tblSupplier[Supplier],tblSupplier[Total_Spend_USD_M])</f>
        <v>27.46</v>
      </c>
      <c r="AF57" s="49" t="str">
        <f>_xlfn.XLOOKUP($AC57,tblSupplier[Supplier],tblSupplier[Risk_Rating])</f>
        <v>MEDIUM</v>
      </c>
      <c r="AG57" s="49"/>
      <c r="AH57" s="49"/>
    </row>
    <row r="58" spans="1:34" ht="18" customHeight="1" x14ac:dyDescent="0.35">
      <c r="AB58" s="49">
        <v>15</v>
      </c>
      <c r="AC58" s="49" t="str">
        <f>INDEX(tblSupplier[Supplier],MATCH(LARGE(tblSupplier[On_Time_Delivery_Pct],$AB58),tblSupplier[On_Time_Delivery_Pct],0))</f>
        <v>Supplier 14</v>
      </c>
      <c r="AD58" s="49">
        <f>LARGE(tblSupplier[On_Time_Delivery_Pct],$AB58)/100</f>
        <v>0.77300000000000002</v>
      </c>
      <c r="AE58" s="49">
        <f>_xlfn.XLOOKUP($AC58,tblSupplier[Supplier],tblSupplier[Total_Spend_USD_M])</f>
        <v>4.51</v>
      </c>
      <c r="AF58" s="49" t="str">
        <f>_xlfn.XLOOKUP($AC58,tblSupplier[Supplier],tblSupplier[Risk_Rating])</f>
        <v>MEDIUM</v>
      </c>
      <c r="AG58" s="49"/>
      <c r="AH58" s="49"/>
    </row>
    <row r="59" spans="1:34" ht="18" customHeight="1" x14ac:dyDescent="0.35">
      <c r="AB59" s="49">
        <v>16</v>
      </c>
      <c r="AC59" s="49" t="str">
        <f>INDEX(tblSupplier[Supplier],MATCH(LARGE(tblSupplier[On_Time_Delivery_Pct],$AB59),tblSupplier[On_Time_Delivery_Pct],0))</f>
        <v>Supplier 3</v>
      </c>
      <c r="AD59" s="49">
        <f>LARGE(tblSupplier[On_Time_Delivery_Pct],$AB59)/100</f>
        <v>0.72599999999999998</v>
      </c>
      <c r="AE59" s="49">
        <f>_xlfn.XLOOKUP($AC59,tblSupplier[Supplier],tblSupplier[Total_Spend_USD_M])</f>
        <v>5.83</v>
      </c>
      <c r="AF59" s="49" t="str">
        <f>_xlfn.XLOOKUP($AC59,tblSupplier[Supplier],tblSupplier[Risk_Rating])</f>
        <v>MEDIUM</v>
      </c>
      <c r="AG59" s="49"/>
      <c r="AH59" s="49"/>
    </row>
    <row r="60" spans="1:34" ht="18" customHeight="1" x14ac:dyDescent="0.35">
      <c r="AB60" s="49"/>
      <c r="AC60" s="49"/>
      <c r="AD60" s="49"/>
      <c r="AE60" s="49"/>
      <c r="AF60" s="49"/>
      <c r="AG60" s="49"/>
      <c r="AH60" s="49"/>
    </row>
    <row r="61" spans="1:34" ht="18" customHeight="1" x14ac:dyDescent="0.35">
      <c r="AB61" s="48" t="s">
        <v>983</v>
      </c>
      <c r="AC61" s="49"/>
      <c r="AD61" s="49"/>
      <c r="AE61" s="49"/>
      <c r="AF61" s="49"/>
      <c r="AG61" s="49"/>
      <c r="AH61" s="49"/>
    </row>
    <row r="62" spans="1:34" ht="18" customHeight="1" x14ac:dyDescent="0.35">
      <c r="AB62" s="49" t="s">
        <v>139</v>
      </c>
      <c r="AC62" s="49" t="s">
        <v>972</v>
      </c>
      <c r="AD62" s="49"/>
      <c r="AE62" s="49"/>
      <c r="AF62" s="49"/>
      <c r="AG62" s="49"/>
      <c r="AH62" s="49"/>
    </row>
    <row r="63" spans="1:34" ht="18" customHeight="1" x14ac:dyDescent="0.35">
      <c r="AB63" s="49" t="s">
        <v>829</v>
      </c>
      <c r="AC63" s="49">
        <f>COUNTIFS(tblNPI[Status],$AB63,tblNPI[Program],$AC$3,tblNPI[Region],$AC$2)</f>
        <v>60</v>
      </c>
      <c r="AD63" s="49"/>
      <c r="AE63" s="49"/>
      <c r="AF63" s="49"/>
      <c r="AG63" s="49"/>
      <c r="AH63" s="49"/>
    </row>
    <row r="64" spans="1:34" ht="18" customHeight="1" x14ac:dyDescent="0.35">
      <c r="AB64" s="49" t="s">
        <v>836</v>
      </c>
      <c r="AC64" s="49">
        <f>COUNTIFS(tblNPI[Status],$AB64,tblNPI[Program],$AC$3,tblNPI[Region],$AC$2)</f>
        <v>20</v>
      </c>
      <c r="AD64" s="49"/>
      <c r="AE64" s="49"/>
      <c r="AF64" s="49"/>
      <c r="AG64" s="49"/>
      <c r="AH64" s="49"/>
    </row>
    <row r="65" spans="28:34" ht="18" customHeight="1" x14ac:dyDescent="0.35">
      <c r="AB65" s="49" t="s">
        <v>838</v>
      </c>
      <c r="AC65" s="49">
        <f>COUNTIFS(tblNPI[Status],$AB65,tblNPI[Program],$AC$3,tblNPI[Region],$AC$2)</f>
        <v>20</v>
      </c>
      <c r="AD65" s="49"/>
      <c r="AE65" s="49"/>
      <c r="AF65" s="49"/>
      <c r="AG65" s="49"/>
      <c r="AH65" s="49"/>
    </row>
    <row r="66" spans="28:34" ht="18" customHeight="1" x14ac:dyDescent="0.35">
      <c r="AB66" s="49" t="s">
        <v>840</v>
      </c>
      <c r="AC66" s="49">
        <f>COUNTIFS(tblNPI[Status],$AB66,tblNPI[Program],$AC$3,tblNPI[Region],$AC$2)</f>
        <v>20</v>
      </c>
      <c r="AD66" s="49"/>
      <c r="AE66" s="49"/>
      <c r="AF66" s="49"/>
      <c r="AG66" s="49"/>
      <c r="AH66" s="49"/>
    </row>
    <row r="67" spans="28:34" ht="18" customHeight="1" x14ac:dyDescent="0.35">
      <c r="AB67" s="49"/>
      <c r="AC67" s="49"/>
      <c r="AD67" s="49"/>
      <c r="AE67" s="49"/>
      <c r="AF67" s="49"/>
      <c r="AG67" s="49"/>
      <c r="AH67" s="49"/>
    </row>
    <row r="68" spans="28:34" ht="18" customHeight="1" x14ac:dyDescent="0.35">
      <c r="AB68" s="48" t="s">
        <v>985</v>
      </c>
      <c r="AC68" s="49"/>
      <c r="AD68" s="49"/>
      <c r="AE68" s="49"/>
      <c r="AF68" s="49"/>
      <c r="AG68" s="49"/>
      <c r="AH68" s="49"/>
    </row>
    <row r="69" spans="28:34" ht="18" customHeight="1" x14ac:dyDescent="0.35">
      <c r="AB69" s="49" t="s">
        <v>979</v>
      </c>
      <c r="AC69" s="49" t="s">
        <v>986</v>
      </c>
      <c r="AD69" s="49" t="s">
        <v>0</v>
      </c>
      <c r="AE69" s="49" t="s">
        <v>1</v>
      </c>
      <c r="AF69" s="49" t="s">
        <v>119</v>
      </c>
      <c r="AG69" s="49" t="s">
        <v>987</v>
      </c>
      <c r="AH69" s="49" t="s">
        <v>982</v>
      </c>
    </row>
    <row r="70" spans="28:34" ht="18" customHeight="1" x14ac:dyDescent="0.35">
      <c r="AB70" s="49">
        <v>1</v>
      </c>
      <c r="AC70" s="49">
        <f>SMALL(tblInventory[Coverage_Weeks],$AB70)</f>
        <v>0.3</v>
      </c>
      <c r="AD70" s="49" t="str" cm="1">
        <f t="array" ref="AD70">INDEX(tblInventory[Part_ID],SMALL(IF(tblInventory[Coverage_Weeks]=$AC70,ROW(tblInventory[Coverage_Weeks])-ROW(Inventory_Coverage!$A$1)),COUNTIF($AC$70:$AC70,$AC70)))</f>
        <v>P1002</v>
      </c>
      <c r="AE70" s="49" t="str" cm="1">
        <f t="array" ref="AE70">INDEX(tblInventory[Part_Name],SMALL(IF(tblInventory[Coverage_Weeks]=$AC70,ROW(tblInventory[Coverage_Weeks])-ROW(Inventory_Coverage!$A$1)),COUNTIF($AC$70:$AC70,$AC70)))</f>
        <v>SSD</v>
      </c>
      <c r="AF70" s="49" t="str" cm="1">
        <f t="array" ref="AF70">INDEX(tblInventory[Region],SMALL(IF(tblInventory[Coverage_Weeks]=$AC70,ROW(tblInventory[Coverage_Weeks])-ROW(Inventory_Coverage!$A$1)),COUNTIF($AC$70:$AC70,$AC70)))</f>
        <v>BRH</v>
      </c>
      <c r="AG70" s="49" cm="1">
        <f t="array" ref="AG70">INDEX(tblInventory[On_Hand_Units],SMALL(IF(tblInventory[Coverage_Weeks]=$AC70,ROW(tblInventory[Coverage_Weeks])-ROW(Inventory_Coverage!$A$1)),COUNTIF($AC$70:$AC70,$AC70)))</f>
        <v>20</v>
      </c>
      <c r="AH70" s="49" t="str" cm="1">
        <f t="array" ref="AH70">INDEX(tblInventory[Shortage_Risk],SMALL(IF(tblInventory[Coverage_Weeks]=$AC70,ROW(tblInventory[Coverage_Weeks])-ROW(Inventory_Coverage!$A$1)),COUNTIF($AC$70:$AC70,$AC70)))</f>
        <v>CRITICAL</v>
      </c>
    </row>
    <row r="71" spans="28:34" x14ac:dyDescent="0.35">
      <c r="AB71" s="49">
        <v>2</v>
      </c>
      <c r="AC71" s="49">
        <f>SMALL(tblInventory[Coverage_Weeks],$AB71)</f>
        <v>0.3</v>
      </c>
      <c r="AD71" s="49" t="str" cm="1">
        <f t="array" ref="AD71">INDEX(tblInventory[Part_ID],SMALL(IF(tblInventory[Coverage_Weeks]=$AC71,ROW(tblInventory[Coverage_Weeks])-ROW(Inventory_Coverage!$A$1)),COUNTIF($AC$70:$AC71,$AC71)))</f>
        <v>P1017</v>
      </c>
      <c r="AE71" s="49" t="str" cm="1">
        <f t="array" ref="AE71">INDEX(tblInventory[Part_Name],SMALL(IF(tblInventory[Coverage_Weeks]=$AC71,ROW(tblInventory[Coverage_Weeks])-ROW(Inventory_Coverage!$A$1)),COUNTIF($AC$70:$AC71,$AC71)))</f>
        <v>LCD Bezel</v>
      </c>
      <c r="AF71" s="49" t="str" cm="1">
        <f t="array" ref="AF71">INDEX(tblInventory[Region],SMALL(IF(tblInventory[Coverage_Weeks]=$AC71,ROW(tblInventory[Coverage_Weeks])-ROW(Inventory_Coverage!$A$1)),COUNTIF($AC$70:$AC71,$AC71)))</f>
        <v>APJ</v>
      </c>
      <c r="AG71" s="49" cm="1">
        <f t="array" ref="AG71">INDEX(tblInventory[On_Hand_Units],SMALL(IF(tblInventory[Coverage_Weeks]=$AC71,ROW(tblInventory[Coverage_Weeks])-ROW(Inventory_Coverage!$A$1)),COUNTIF($AC$70:$AC71,$AC71)))</f>
        <v>23</v>
      </c>
      <c r="AH71" s="49" t="str" cm="1">
        <f t="array" ref="AH71">INDEX(tblInventory[Shortage_Risk],SMALL(IF(tblInventory[Coverage_Weeks]=$AC71,ROW(tblInventory[Coverage_Weeks])-ROW(Inventory_Coverage!$A$1)),COUNTIF($AC$70:$AC71,$AC71)))</f>
        <v>CRITICAL</v>
      </c>
    </row>
    <row r="72" spans="28:34" x14ac:dyDescent="0.35">
      <c r="AB72" s="49">
        <v>3</v>
      </c>
      <c r="AC72" s="49">
        <f>SMALL(tblInventory[Coverage_Weeks],$AB72)</f>
        <v>0.5</v>
      </c>
      <c r="AD72" s="49" t="str" cm="1">
        <f t="array" ref="AD72">INDEX(tblInventory[Part_ID],SMALL(IF(tblInventory[Coverage_Weeks]=$AC72,ROW(tblInventory[Coverage_Weeks])-ROW(Inventory_Coverage!$A$1)),COUNTIF($AC$70:$AC72,$AC72)))</f>
        <v>P1017</v>
      </c>
      <c r="AE72" s="49" t="str" cm="1">
        <f t="array" ref="AE72">INDEX(tblInventory[Part_Name],SMALL(IF(tblInventory[Coverage_Weeks]=$AC72,ROW(tblInventory[Coverage_Weeks])-ROW(Inventory_Coverage!$A$1)),COUNTIF($AC$70:$AC72,$AC72)))</f>
        <v>LCD Bezel</v>
      </c>
      <c r="AF72" s="49" t="str" cm="1">
        <f t="array" ref="AF72">INDEX(tblInventory[Region],SMALL(IF(tblInventory[Coverage_Weeks]=$AC72,ROW(tblInventory[Coverage_Weeks])-ROW(Inventory_Coverage!$A$1)),COUNTIF($AC$70:$AC72,$AC72)))</f>
        <v>EMEA</v>
      </c>
      <c r="AG72" s="49" cm="1">
        <f t="array" ref="AG72">INDEX(tblInventory[On_Hand_Units],SMALL(IF(tblInventory[Coverage_Weeks]=$AC72,ROW(tblInventory[Coverage_Weeks])-ROW(Inventory_Coverage!$A$1)),COUNTIF($AC$70:$AC72,$AC72)))</f>
        <v>8</v>
      </c>
      <c r="AH72" s="49" t="str" cm="1">
        <f t="array" ref="AH72">INDEX(tblInventory[Shortage_Risk],SMALL(IF(tblInventory[Coverage_Weeks]=$AC72,ROW(tblInventory[Coverage_Weeks])-ROW(Inventory_Coverage!$A$1)),COUNTIF($AC$70:$AC72,$AC72)))</f>
        <v>CRITICAL</v>
      </c>
    </row>
    <row r="73" spans="28:34" x14ac:dyDescent="0.35">
      <c r="AB73" s="49">
        <v>4</v>
      </c>
      <c r="AC73" s="49">
        <f>SMALL(tblInventory[Coverage_Weeks],$AB73)</f>
        <v>1.2</v>
      </c>
      <c r="AD73" s="49" t="str" cm="1">
        <f t="array" ref="AD73">INDEX(tblInventory[Part_ID],SMALL(IF(tblInventory[Coverage_Weeks]=$AC73,ROW(tblInventory[Coverage_Weeks])-ROW(Inventory_Coverage!$A$1)),COUNTIF($AC$70:$AC73,$AC73)))</f>
        <v>P1016</v>
      </c>
      <c r="AE73" s="49" t="str" cm="1">
        <f t="array" ref="AE73">INDEX(tblInventory[Part_Name],SMALL(IF(tblInventory[Coverage_Weeks]=$AC73,ROW(tblInventory[Coverage_Weeks])-ROW(Inventory_Coverage!$A$1)),COUNTIF($AC$70:$AC73,$AC73)))</f>
        <v>Luggage Tag Kit</v>
      </c>
      <c r="AF73" s="49" t="str" cm="1">
        <f t="array" ref="AF73">INDEX(tblInventory[Region],SMALL(IF(tblInventory[Coverage_Weeks]=$AC73,ROW(tblInventory[Coverage_Weeks])-ROW(Inventory_Coverage!$A$1)),COUNTIF($AC$70:$AC73,$AC73)))</f>
        <v>NAM</v>
      </c>
      <c r="AG73" s="49" cm="1">
        <f t="array" ref="AG73">INDEX(tblInventory[On_Hand_Units],SMALL(IF(tblInventory[Coverage_Weeks]=$AC73,ROW(tblInventory[Coverage_Weeks])-ROW(Inventory_Coverage!$A$1)),COUNTIF($AC$70:$AC73,$AC73)))</f>
        <v>43</v>
      </c>
      <c r="AH73" s="49" t="str" cm="1">
        <f t="array" ref="AH73">INDEX(tblInventory[Shortage_Risk],SMALL(IF(tblInventory[Coverage_Weeks]=$AC73,ROW(tblInventory[Coverage_Weeks])-ROW(Inventory_Coverage!$A$1)),COUNTIF($AC$70:$AC73,$AC73)))</f>
        <v>CRITICAL</v>
      </c>
    </row>
    <row r="74" spans="28:34" x14ac:dyDescent="0.35">
      <c r="AB74" s="49">
        <v>5</v>
      </c>
      <c r="AC74" s="49">
        <f>SMALL(tblInventory[Coverage_Weeks],$AB74)</f>
        <v>2</v>
      </c>
      <c r="AD74" s="49" t="str" cm="1">
        <f t="array" ref="AD74">INDEX(tblInventory[Part_ID],SMALL(IF(tblInventory[Coverage_Weeks]=$AC74,ROW(tblInventory[Coverage_Weeks])-ROW(Inventory_Coverage!$A$1)),COUNTIF($AC$70:$AC74,$AC74)))</f>
        <v>P1015</v>
      </c>
      <c r="AE74" s="49" t="str" cm="1">
        <f t="array" ref="AE74">INDEX(tblInventory[Part_Name],SMALL(IF(tblInventory[Coverage_Weeks]=$AC74,ROW(tblInventory[Coverage_Weeks])-ROW(Inventory_Coverage!$A$1)),COUNTIF($AC$70:$AC74,$AC74)))</f>
        <v>Luggage Tag Kit</v>
      </c>
      <c r="AF74" s="49" t="str" cm="1">
        <f t="array" ref="AF74">INDEX(tblInventory[Region],SMALL(IF(tblInventory[Coverage_Weeks]=$AC74,ROW(tblInventory[Coverage_Weeks])-ROW(Inventory_Coverage!$A$1)),COUNTIF($AC$70:$AC74,$AC74)))</f>
        <v>APJ</v>
      </c>
      <c r="AG74" s="49" cm="1">
        <f t="array" ref="AG74">INDEX(tblInventory[On_Hand_Units],SMALL(IF(tblInventory[Coverage_Weeks]=$AC74,ROW(tblInventory[Coverage_Weeks])-ROW(Inventory_Coverage!$A$1)),COUNTIF($AC$70:$AC74,$AC74)))</f>
        <v>76</v>
      </c>
      <c r="AH74" s="49" t="str" cm="1">
        <f t="array" ref="AH74">INDEX(tblInventory[Shortage_Risk],SMALL(IF(tblInventory[Coverage_Weeks]=$AC74,ROW(tblInventory[Coverage_Weeks])-ROW(Inventory_Coverage!$A$1)),COUNTIF($AC$70:$AC74,$AC74)))</f>
        <v>CRITICAL</v>
      </c>
    </row>
    <row r="75" spans="28:34" x14ac:dyDescent="0.35">
      <c r="AB75" s="49"/>
      <c r="AC75" s="49"/>
      <c r="AD75" s="49"/>
      <c r="AE75" s="49"/>
      <c r="AF75" s="49"/>
      <c r="AG75" s="49"/>
      <c r="AH75" s="49"/>
    </row>
    <row r="76" spans="28:34" x14ac:dyDescent="0.35">
      <c r="AB76" s="49"/>
      <c r="AC76" s="49"/>
      <c r="AD76" s="49"/>
      <c r="AE76" s="49"/>
      <c r="AF76" s="49"/>
      <c r="AG76" s="49"/>
      <c r="AH76" s="49"/>
    </row>
    <row r="77" spans="28:34" x14ac:dyDescent="0.35">
      <c r="AB77" s="49"/>
      <c r="AC77" s="49"/>
      <c r="AD77" s="49"/>
      <c r="AE77" s="49"/>
      <c r="AF77" s="49"/>
      <c r="AG77" s="49"/>
      <c r="AH77" s="49"/>
    </row>
    <row r="78" spans="28:34" x14ac:dyDescent="0.35">
      <c r="AB78" s="49"/>
      <c r="AC78" s="49"/>
      <c r="AD78" s="49"/>
      <c r="AE78" s="49"/>
      <c r="AF78" s="49"/>
      <c r="AG78" s="49"/>
      <c r="AH78" s="49"/>
    </row>
    <row r="79" spans="28:34" x14ac:dyDescent="0.35">
      <c r="AB79" s="49"/>
      <c r="AC79" s="49"/>
      <c r="AD79" s="49"/>
      <c r="AE79" s="49"/>
      <c r="AF79" s="49"/>
      <c r="AG79" s="49"/>
      <c r="AH79" s="49"/>
    </row>
    <row r="80" spans="28:34" x14ac:dyDescent="0.35">
      <c r="AB80" s="49"/>
      <c r="AC80" s="49"/>
      <c r="AD80" s="49"/>
      <c r="AE80" s="49"/>
      <c r="AF80" s="49"/>
      <c r="AG80" s="49"/>
      <c r="AH80" s="49"/>
    </row>
  </sheetData>
  <mergeCells count="38">
    <mergeCell ref="B2:M2"/>
    <mergeCell ref="B3:M3"/>
    <mergeCell ref="J5:M5"/>
    <mergeCell ref="B7:E7"/>
    <mergeCell ref="J7:M7"/>
    <mergeCell ref="H40:M40"/>
    <mergeCell ref="B15:E15"/>
    <mergeCell ref="F15:I15"/>
    <mergeCell ref="B40:G40"/>
    <mergeCell ref="F7:I7"/>
    <mergeCell ref="F8:I8"/>
    <mergeCell ref="F9:I9"/>
    <mergeCell ref="F10:I10"/>
    <mergeCell ref="B5:C5"/>
    <mergeCell ref="D5:E5"/>
    <mergeCell ref="F5:G5"/>
    <mergeCell ref="H5:I5"/>
    <mergeCell ref="J8:M8"/>
    <mergeCell ref="J9:M9"/>
    <mergeCell ref="J10:M10"/>
    <mergeCell ref="B12:E12"/>
    <mergeCell ref="B13:E13"/>
    <mergeCell ref="F12:I12"/>
    <mergeCell ref="F13:I13"/>
    <mergeCell ref="J12:M12"/>
    <mergeCell ref="B8:E8"/>
    <mergeCell ref="B9:E9"/>
    <mergeCell ref="B10:E10"/>
    <mergeCell ref="B55:M55"/>
    <mergeCell ref="J13:M13"/>
    <mergeCell ref="J14:M14"/>
    <mergeCell ref="J15:M15"/>
    <mergeCell ref="B17:G17"/>
    <mergeCell ref="H17:M17"/>
    <mergeCell ref="B32:F32"/>
    <mergeCell ref="H32:M32"/>
    <mergeCell ref="B14:E14"/>
    <mergeCell ref="F14:I14"/>
  </mergeCells>
  <conditionalFormatting sqref="D34:D38">
    <cfRule type="dataBar" priority="1">
      <dataBar>
        <cfvo type="min"/>
        <cfvo type="max"/>
        <color rgb="FF1AA7A0"/>
      </dataBar>
      <extLst>
        <ext xmlns:x14="http://schemas.microsoft.com/office/spreadsheetml/2009/9/main" uri="{B025F937-C7B1-47D3-B67F-A62EFF666E3E}">
          <x14:id>{27A86408-259C-496C-A306-16A0BEE9AC69}</x14:id>
        </ext>
      </extLst>
    </cfRule>
  </conditionalFormatting>
  <conditionalFormatting sqref="L34:L38">
    <cfRule type="colorScale" priority="2">
      <colorScale>
        <cfvo type="min"/>
        <cfvo type="num" val="3"/>
        <cfvo type="max"/>
        <color rgb="FFF4B0A6"/>
        <color rgb="FFFFEFC2"/>
        <color rgb="FFC8E6C9"/>
      </colorScale>
    </cfRule>
  </conditionalFormatting>
  <dataValidations count="2">
    <dataValidation type="list" allowBlank="1" showInputMessage="1" showErrorMessage="1" promptTitle="Region filter" prompt="Pick All / NAM / EMEA / APJ / BRH" sqref="D5" xr:uid="{50D21327-BB20-4D0D-A165-EB6E3962341F}">
      <formula1>$AB$6:$AB$10</formula1>
    </dataValidation>
    <dataValidation type="list" allowBlank="1" showInputMessage="1" showErrorMessage="1" promptTitle="Program filter" prompt="Pick All or Program A–E" sqref="H5" xr:uid="{7B7EADF7-58FA-4F8E-869B-4D04C2B2E298}">
      <formula1>$AD$6:$AD$11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86408-259C-496C-A306-16A0BEE9AC6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D34:D38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/>
  </sheetViews>
  <sheetFormatPr defaultRowHeight="14.5" x14ac:dyDescent="0.35"/>
  <cols>
    <col min="1" max="1" width="9.1796875" customWidth="1"/>
    <col min="2" max="2" width="14.54296875" bestFit="1" customWidth="1"/>
    <col min="3" max="3" width="15.81640625" bestFit="1" customWidth="1"/>
    <col min="4" max="4" width="18.453125" customWidth="1"/>
    <col min="5" max="5" width="15.54296875" customWidth="1"/>
    <col min="6" max="6" width="13.90625" customWidth="1"/>
    <col min="7" max="7" width="14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19</v>
      </c>
      <c r="E2">
        <v>2976</v>
      </c>
      <c r="F2" t="b">
        <v>1</v>
      </c>
      <c r="G2" t="s">
        <v>10</v>
      </c>
    </row>
    <row r="3" spans="1:7" x14ac:dyDescent="0.35">
      <c r="A3" t="s">
        <v>11</v>
      </c>
      <c r="B3" t="s">
        <v>8</v>
      </c>
      <c r="C3" t="s">
        <v>12</v>
      </c>
      <c r="D3">
        <v>19</v>
      </c>
      <c r="E3">
        <v>3104</v>
      </c>
      <c r="F3" t="b">
        <v>1</v>
      </c>
      <c r="G3" t="s">
        <v>10</v>
      </c>
    </row>
    <row r="4" spans="1:7" x14ac:dyDescent="0.35">
      <c r="A4" t="s">
        <v>13</v>
      </c>
      <c r="B4" t="s">
        <v>14</v>
      </c>
      <c r="C4" t="s">
        <v>15</v>
      </c>
      <c r="D4">
        <v>11</v>
      </c>
      <c r="E4">
        <v>446.4</v>
      </c>
      <c r="F4" t="b">
        <v>1</v>
      </c>
      <c r="G4" t="s">
        <v>16</v>
      </c>
    </row>
    <row r="5" spans="1:7" x14ac:dyDescent="0.35">
      <c r="A5" t="s">
        <v>17</v>
      </c>
      <c r="B5" t="s">
        <v>14</v>
      </c>
      <c r="C5" t="s">
        <v>18</v>
      </c>
      <c r="D5">
        <v>10</v>
      </c>
      <c r="E5">
        <v>513.6</v>
      </c>
      <c r="F5" t="b">
        <v>1</v>
      </c>
      <c r="G5" t="s">
        <v>16</v>
      </c>
    </row>
    <row r="6" spans="1:7" x14ac:dyDescent="0.35">
      <c r="A6" t="s">
        <v>19</v>
      </c>
      <c r="B6" t="s">
        <v>14</v>
      </c>
      <c r="C6" t="s">
        <v>20</v>
      </c>
      <c r="D6">
        <v>14</v>
      </c>
      <c r="E6">
        <v>441.6</v>
      </c>
      <c r="F6" t="b">
        <v>1</v>
      </c>
      <c r="G6" t="s">
        <v>16</v>
      </c>
    </row>
    <row r="7" spans="1:7" x14ac:dyDescent="0.35">
      <c r="A7" t="s">
        <v>21</v>
      </c>
      <c r="B7" t="s">
        <v>22</v>
      </c>
      <c r="C7" t="s">
        <v>23</v>
      </c>
      <c r="D7">
        <v>11</v>
      </c>
      <c r="E7">
        <v>200.2</v>
      </c>
      <c r="F7" t="b">
        <v>1</v>
      </c>
      <c r="G7" t="s">
        <v>10</v>
      </c>
    </row>
    <row r="8" spans="1:7" x14ac:dyDescent="0.35">
      <c r="A8" t="s">
        <v>24</v>
      </c>
      <c r="B8" t="s">
        <v>22</v>
      </c>
      <c r="C8" t="s">
        <v>25</v>
      </c>
      <c r="D8">
        <v>8</v>
      </c>
      <c r="E8">
        <v>209</v>
      </c>
      <c r="F8" t="b">
        <v>1</v>
      </c>
      <c r="G8" t="s">
        <v>10</v>
      </c>
    </row>
    <row r="9" spans="1:7" x14ac:dyDescent="0.35">
      <c r="A9" t="s">
        <v>26</v>
      </c>
      <c r="B9" t="s">
        <v>27</v>
      </c>
      <c r="C9" t="s">
        <v>28</v>
      </c>
      <c r="D9">
        <v>10</v>
      </c>
      <c r="E9">
        <v>99.75</v>
      </c>
      <c r="F9" t="b">
        <v>1</v>
      </c>
      <c r="G9" t="s">
        <v>16</v>
      </c>
    </row>
    <row r="10" spans="1:7" x14ac:dyDescent="0.35">
      <c r="A10" t="s">
        <v>29</v>
      </c>
      <c r="B10" t="s">
        <v>27</v>
      </c>
      <c r="C10" t="s">
        <v>20</v>
      </c>
      <c r="D10">
        <v>10</v>
      </c>
      <c r="E10">
        <v>90.25</v>
      </c>
      <c r="F10" t="b">
        <v>1</v>
      </c>
      <c r="G10" t="s">
        <v>16</v>
      </c>
    </row>
    <row r="11" spans="1:7" x14ac:dyDescent="0.35">
      <c r="A11" t="s">
        <v>30</v>
      </c>
      <c r="B11" t="s">
        <v>27</v>
      </c>
      <c r="C11" t="s">
        <v>15</v>
      </c>
      <c r="D11">
        <v>11</v>
      </c>
      <c r="E11">
        <v>102.6</v>
      </c>
      <c r="F11" t="b">
        <v>1</v>
      </c>
      <c r="G11" t="s">
        <v>16</v>
      </c>
    </row>
    <row r="12" spans="1:7" x14ac:dyDescent="0.35">
      <c r="A12" t="s">
        <v>31</v>
      </c>
      <c r="B12" t="s">
        <v>32</v>
      </c>
      <c r="C12" t="s">
        <v>33</v>
      </c>
      <c r="D12">
        <v>15</v>
      </c>
      <c r="E12">
        <v>816</v>
      </c>
      <c r="F12" t="b">
        <v>1</v>
      </c>
      <c r="G12" t="s">
        <v>10</v>
      </c>
    </row>
    <row r="13" spans="1:7" x14ac:dyDescent="0.35">
      <c r="A13" t="s">
        <v>34</v>
      </c>
      <c r="B13" t="s">
        <v>32</v>
      </c>
      <c r="C13" t="s">
        <v>35</v>
      </c>
      <c r="D13">
        <v>16</v>
      </c>
      <c r="E13">
        <v>824.5</v>
      </c>
      <c r="F13" t="b">
        <v>1</v>
      </c>
      <c r="G13" t="s">
        <v>10</v>
      </c>
    </row>
    <row r="14" spans="1:7" x14ac:dyDescent="0.35">
      <c r="A14" t="s">
        <v>36</v>
      </c>
      <c r="B14" t="s">
        <v>37</v>
      </c>
      <c r="C14" t="s">
        <v>38</v>
      </c>
      <c r="D14">
        <v>8</v>
      </c>
      <c r="E14">
        <v>190.75</v>
      </c>
      <c r="F14" t="b">
        <v>1</v>
      </c>
      <c r="G14" t="s">
        <v>10</v>
      </c>
    </row>
    <row r="15" spans="1:7" x14ac:dyDescent="0.35">
      <c r="A15" t="s">
        <v>39</v>
      </c>
      <c r="B15" t="s">
        <v>37</v>
      </c>
      <c r="C15" t="s">
        <v>40</v>
      </c>
      <c r="D15">
        <v>9</v>
      </c>
      <c r="E15">
        <v>187.25</v>
      </c>
      <c r="F15" t="b">
        <v>1</v>
      </c>
      <c r="G15" t="s">
        <v>10</v>
      </c>
    </row>
    <row r="16" spans="1:7" x14ac:dyDescent="0.35">
      <c r="A16" t="s">
        <v>41</v>
      </c>
      <c r="B16" t="s">
        <v>42</v>
      </c>
      <c r="C16" t="s">
        <v>23</v>
      </c>
      <c r="D16">
        <v>18</v>
      </c>
      <c r="E16">
        <v>397.7</v>
      </c>
      <c r="F16" t="b">
        <v>0</v>
      </c>
      <c r="G16" t="s">
        <v>43</v>
      </c>
    </row>
    <row r="17" spans="1:7" x14ac:dyDescent="0.35">
      <c r="A17" t="s">
        <v>44</v>
      </c>
      <c r="B17" t="s">
        <v>45</v>
      </c>
      <c r="C17" t="s">
        <v>46</v>
      </c>
      <c r="D17">
        <v>5</v>
      </c>
      <c r="E17">
        <v>31.92</v>
      </c>
      <c r="F17" t="b">
        <v>1</v>
      </c>
      <c r="G17" t="s">
        <v>10</v>
      </c>
    </row>
    <row r="18" spans="1:7" x14ac:dyDescent="0.35">
      <c r="A18" t="s">
        <v>47</v>
      </c>
      <c r="B18" t="s">
        <v>45</v>
      </c>
      <c r="C18" t="s">
        <v>48</v>
      </c>
      <c r="D18">
        <v>6</v>
      </c>
      <c r="E18">
        <v>26.04</v>
      </c>
      <c r="F18" t="b">
        <v>1</v>
      </c>
      <c r="G18" t="s">
        <v>10</v>
      </c>
    </row>
    <row r="19" spans="1:7" x14ac:dyDescent="0.35">
      <c r="A19" t="s">
        <v>49</v>
      </c>
      <c r="B19" t="s">
        <v>50</v>
      </c>
      <c r="C19" t="s">
        <v>33</v>
      </c>
      <c r="D19">
        <v>13</v>
      </c>
      <c r="E19">
        <v>59.8</v>
      </c>
      <c r="F19" t="b">
        <v>0</v>
      </c>
      <c r="G19" t="s">
        <v>43</v>
      </c>
    </row>
    <row r="20" spans="1:7" x14ac:dyDescent="0.35">
      <c r="A20" t="s">
        <v>51</v>
      </c>
      <c r="B20" t="s">
        <v>52</v>
      </c>
      <c r="C20" t="s">
        <v>53</v>
      </c>
      <c r="D20">
        <v>8</v>
      </c>
      <c r="E20">
        <v>44.1</v>
      </c>
      <c r="F20" t="b">
        <v>1</v>
      </c>
      <c r="G20" t="s">
        <v>10</v>
      </c>
    </row>
    <row r="21" spans="1:7" x14ac:dyDescent="0.35">
      <c r="A21" t="s">
        <v>54</v>
      </c>
      <c r="B21" t="s">
        <v>52</v>
      </c>
      <c r="C21" t="s">
        <v>55</v>
      </c>
      <c r="D21">
        <v>6</v>
      </c>
      <c r="E21">
        <v>45.36</v>
      </c>
      <c r="F21" t="b">
        <v>1</v>
      </c>
      <c r="G21" t="s">
        <v>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61"/>
  <sheetViews>
    <sheetView workbookViewId="0">
      <selection sqref="A1:G1561"/>
    </sheetView>
  </sheetViews>
  <sheetFormatPr defaultRowHeight="14.5" x14ac:dyDescent="0.35"/>
  <cols>
    <col min="1" max="1" width="10.453125" bestFit="1" customWidth="1"/>
    <col min="2" max="2" width="20.453125" bestFit="1" customWidth="1"/>
    <col min="3" max="3" width="12.26953125" customWidth="1"/>
    <col min="4" max="4" width="13.90625" customWidth="1"/>
    <col min="5" max="5" width="16.1796875" customWidth="1"/>
    <col min="6" max="6" width="10.08984375" customWidth="1"/>
    <col min="7" max="7" width="13.7265625" customWidth="1"/>
  </cols>
  <sheetData>
    <row r="1" spans="1:7" x14ac:dyDescent="0.35">
      <c r="A1" t="s">
        <v>56</v>
      </c>
      <c r="B1" t="s">
        <v>57</v>
      </c>
      <c r="C1" t="s">
        <v>1</v>
      </c>
      <c r="D1" t="s">
        <v>58</v>
      </c>
      <c r="E1" t="s">
        <v>59</v>
      </c>
      <c r="F1" t="s">
        <v>60</v>
      </c>
      <c r="G1" t="s">
        <v>61</v>
      </c>
    </row>
    <row r="2" spans="1:7" x14ac:dyDescent="0.35">
      <c r="A2" t="s">
        <v>62</v>
      </c>
      <c r="B2" t="s">
        <v>63</v>
      </c>
      <c r="C2" t="s">
        <v>8</v>
      </c>
      <c r="D2">
        <v>65</v>
      </c>
      <c r="E2">
        <v>85</v>
      </c>
      <c r="F2">
        <v>20</v>
      </c>
      <c r="G2">
        <v>30.8</v>
      </c>
    </row>
    <row r="3" spans="1:7" x14ac:dyDescent="0.35">
      <c r="A3" t="s">
        <v>64</v>
      </c>
      <c r="B3" t="s">
        <v>63</v>
      </c>
      <c r="C3" t="s">
        <v>8</v>
      </c>
      <c r="D3">
        <v>67</v>
      </c>
      <c r="E3">
        <v>65</v>
      </c>
      <c r="F3">
        <v>-2</v>
      </c>
      <c r="G3">
        <v>-3</v>
      </c>
    </row>
    <row r="4" spans="1:7" x14ac:dyDescent="0.35">
      <c r="A4" t="s">
        <v>65</v>
      </c>
      <c r="B4" t="s">
        <v>63</v>
      </c>
      <c r="C4" t="s">
        <v>8</v>
      </c>
      <c r="D4">
        <v>78</v>
      </c>
      <c r="E4">
        <v>90</v>
      </c>
      <c r="F4">
        <v>12</v>
      </c>
      <c r="G4">
        <v>15.4</v>
      </c>
    </row>
    <row r="5" spans="1:7" x14ac:dyDescent="0.35">
      <c r="A5" t="s">
        <v>66</v>
      </c>
      <c r="B5" t="s">
        <v>63</v>
      </c>
      <c r="C5" t="s">
        <v>8</v>
      </c>
      <c r="D5">
        <v>76</v>
      </c>
      <c r="E5">
        <v>66</v>
      </c>
      <c r="F5">
        <v>-10</v>
      </c>
      <c r="G5">
        <v>-13.2</v>
      </c>
    </row>
    <row r="6" spans="1:7" x14ac:dyDescent="0.35">
      <c r="A6" t="s">
        <v>67</v>
      </c>
      <c r="B6" t="s">
        <v>63</v>
      </c>
      <c r="C6" t="s">
        <v>8</v>
      </c>
      <c r="D6">
        <v>74</v>
      </c>
      <c r="E6">
        <v>87</v>
      </c>
      <c r="F6">
        <v>13</v>
      </c>
      <c r="G6">
        <v>17.600000000000001</v>
      </c>
    </row>
    <row r="7" spans="1:7" x14ac:dyDescent="0.35">
      <c r="A7" t="s">
        <v>68</v>
      </c>
      <c r="B7" t="s">
        <v>63</v>
      </c>
      <c r="C7" t="s">
        <v>8</v>
      </c>
      <c r="D7">
        <v>88</v>
      </c>
      <c r="E7">
        <v>104</v>
      </c>
      <c r="F7">
        <v>16</v>
      </c>
      <c r="G7">
        <v>18.2</v>
      </c>
    </row>
    <row r="8" spans="1:7" x14ac:dyDescent="0.35">
      <c r="A8" t="s">
        <v>69</v>
      </c>
      <c r="B8" t="s">
        <v>63</v>
      </c>
      <c r="C8" t="s">
        <v>8</v>
      </c>
      <c r="D8">
        <v>92</v>
      </c>
      <c r="E8">
        <v>102</v>
      </c>
      <c r="F8">
        <v>10</v>
      </c>
      <c r="G8">
        <v>10.9</v>
      </c>
    </row>
    <row r="9" spans="1:7" x14ac:dyDescent="0.35">
      <c r="A9" t="s">
        <v>70</v>
      </c>
      <c r="B9" t="s">
        <v>63</v>
      </c>
      <c r="C9" t="s">
        <v>8</v>
      </c>
      <c r="D9">
        <v>87</v>
      </c>
      <c r="E9">
        <v>87</v>
      </c>
      <c r="F9">
        <v>0</v>
      </c>
      <c r="G9">
        <v>0</v>
      </c>
    </row>
    <row r="10" spans="1:7" x14ac:dyDescent="0.35">
      <c r="A10" t="s">
        <v>71</v>
      </c>
      <c r="B10" t="s">
        <v>63</v>
      </c>
      <c r="C10" t="s">
        <v>8</v>
      </c>
      <c r="D10">
        <v>98</v>
      </c>
      <c r="E10">
        <v>76</v>
      </c>
      <c r="F10">
        <v>-22</v>
      </c>
      <c r="G10">
        <v>-22.4</v>
      </c>
    </row>
    <row r="11" spans="1:7" x14ac:dyDescent="0.35">
      <c r="A11" t="s">
        <v>72</v>
      </c>
      <c r="B11" t="s">
        <v>63</v>
      </c>
      <c r="C11" t="s">
        <v>8</v>
      </c>
      <c r="D11">
        <v>91</v>
      </c>
      <c r="E11">
        <v>102</v>
      </c>
      <c r="F11">
        <v>11</v>
      </c>
      <c r="G11">
        <v>12.1</v>
      </c>
    </row>
    <row r="12" spans="1:7" x14ac:dyDescent="0.35">
      <c r="A12" t="s">
        <v>73</v>
      </c>
      <c r="B12" t="s">
        <v>63</v>
      </c>
      <c r="C12" t="s">
        <v>8</v>
      </c>
      <c r="D12">
        <v>101</v>
      </c>
      <c r="E12">
        <v>106</v>
      </c>
      <c r="F12">
        <v>5</v>
      </c>
      <c r="G12">
        <v>5</v>
      </c>
    </row>
    <row r="13" spans="1:7" x14ac:dyDescent="0.35">
      <c r="A13" t="s">
        <v>74</v>
      </c>
      <c r="B13" t="s">
        <v>63</v>
      </c>
      <c r="C13" t="s">
        <v>8</v>
      </c>
      <c r="D13">
        <v>91</v>
      </c>
      <c r="E13">
        <v>106</v>
      </c>
      <c r="F13">
        <v>15</v>
      </c>
      <c r="G13">
        <v>16.5</v>
      </c>
    </row>
    <row r="14" spans="1:7" x14ac:dyDescent="0.35">
      <c r="A14" t="s">
        <v>75</v>
      </c>
      <c r="B14" t="s">
        <v>63</v>
      </c>
      <c r="C14" t="s">
        <v>8</v>
      </c>
      <c r="D14">
        <v>103</v>
      </c>
      <c r="E14">
        <v>89</v>
      </c>
      <c r="F14">
        <v>-14</v>
      </c>
      <c r="G14">
        <v>-13.6</v>
      </c>
    </row>
    <row r="15" spans="1:7" x14ac:dyDescent="0.35">
      <c r="A15" t="s">
        <v>76</v>
      </c>
      <c r="B15" t="s">
        <v>63</v>
      </c>
      <c r="C15" t="s">
        <v>8</v>
      </c>
      <c r="D15">
        <v>104</v>
      </c>
      <c r="E15">
        <v>93</v>
      </c>
      <c r="F15">
        <v>-11</v>
      </c>
      <c r="G15">
        <v>-10.6</v>
      </c>
    </row>
    <row r="16" spans="1:7" x14ac:dyDescent="0.35">
      <c r="A16" t="s">
        <v>77</v>
      </c>
      <c r="B16" t="s">
        <v>63</v>
      </c>
      <c r="C16" t="s">
        <v>8</v>
      </c>
      <c r="D16">
        <v>117</v>
      </c>
      <c r="E16">
        <v>118</v>
      </c>
      <c r="F16">
        <v>1</v>
      </c>
      <c r="G16">
        <v>0.9</v>
      </c>
    </row>
    <row r="17" spans="1:7" x14ac:dyDescent="0.35">
      <c r="A17" t="s">
        <v>78</v>
      </c>
      <c r="B17" t="s">
        <v>63</v>
      </c>
      <c r="C17" t="s">
        <v>8</v>
      </c>
      <c r="D17">
        <v>104</v>
      </c>
      <c r="E17">
        <v>100</v>
      </c>
      <c r="F17">
        <v>-4</v>
      </c>
      <c r="G17">
        <v>-3.8</v>
      </c>
    </row>
    <row r="18" spans="1:7" x14ac:dyDescent="0.35">
      <c r="A18" t="s">
        <v>79</v>
      </c>
      <c r="B18" t="s">
        <v>63</v>
      </c>
      <c r="C18" t="s">
        <v>8</v>
      </c>
      <c r="D18">
        <v>119</v>
      </c>
      <c r="E18">
        <v>88</v>
      </c>
      <c r="F18">
        <v>-31</v>
      </c>
      <c r="G18">
        <v>-26.1</v>
      </c>
    </row>
    <row r="19" spans="1:7" x14ac:dyDescent="0.35">
      <c r="A19" t="s">
        <v>80</v>
      </c>
      <c r="B19" t="s">
        <v>63</v>
      </c>
      <c r="C19" t="s">
        <v>8</v>
      </c>
      <c r="D19">
        <v>123</v>
      </c>
      <c r="E19">
        <v>133</v>
      </c>
      <c r="F19">
        <v>10</v>
      </c>
      <c r="G19">
        <v>8.1</v>
      </c>
    </row>
    <row r="20" spans="1:7" x14ac:dyDescent="0.35">
      <c r="A20" t="s">
        <v>81</v>
      </c>
      <c r="B20" t="s">
        <v>63</v>
      </c>
      <c r="C20" t="s">
        <v>8</v>
      </c>
      <c r="D20">
        <v>116</v>
      </c>
      <c r="E20">
        <v>92</v>
      </c>
      <c r="F20">
        <v>-24</v>
      </c>
      <c r="G20">
        <v>-20.7</v>
      </c>
    </row>
    <row r="21" spans="1:7" x14ac:dyDescent="0.35">
      <c r="A21" t="s">
        <v>82</v>
      </c>
      <c r="B21" t="s">
        <v>63</v>
      </c>
      <c r="C21" t="s">
        <v>8</v>
      </c>
      <c r="D21">
        <v>131</v>
      </c>
      <c r="E21">
        <v>125</v>
      </c>
      <c r="F21">
        <v>-6</v>
      </c>
      <c r="G21">
        <v>-4.5999999999999996</v>
      </c>
    </row>
    <row r="22" spans="1:7" x14ac:dyDescent="0.35">
      <c r="A22" t="s">
        <v>83</v>
      </c>
      <c r="B22" t="s">
        <v>63</v>
      </c>
      <c r="C22" t="s">
        <v>8</v>
      </c>
      <c r="D22">
        <v>129</v>
      </c>
      <c r="E22">
        <v>47</v>
      </c>
      <c r="F22">
        <v>-82</v>
      </c>
      <c r="G22">
        <v>-63.6</v>
      </c>
    </row>
    <row r="23" spans="1:7" x14ac:dyDescent="0.35">
      <c r="A23" t="s">
        <v>84</v>
      </c>
      <c r="B23" t="s">
        <v>63</v>
      </c>
      <c r="C23" t="s">
        <v>8</v>
      </c>
      <c r="D23">
        <v>126</v>
      </c>
      <c r="E23">
        <v>67</v>
      </c>
      <c r="F23">
        <v>-59</v>
      </c>
      <c r="G23">
        <v>-46.8</v>
      </c>
    </row>
    <row r="24" spans="1:7" x14ac:dyDescent="0.35">
      <c r="A24" t="s">
        <v>85</v>
      </c>
      <c r="B24" t="s">
        <v>63</v>
      </c>
      <c r="C24" t="s">
        <v>8</v>
      </c>
      <c r="D24">
        <v>132</v>
      </c>
      <c r="E24">
        <v>47</v>
      </c>
      <c r="F24">
        <v>-85</v>
      </c>
      <c r="G24">
        <v>-64.400000000000006</v>
      </c>
    </row>
    <row r="25" spans="1:7" x14ac:dyDescent="0.35">
      <c r="A25" t="s">
        <v>86</v>
      </c>
      <c r="B25" t="s">
        <v>63</v>
      </c>
      <c r="C25" t="s">
        <v>8</v>
      </c>
      <c r="D25">
        <v>122</v>
      </c>
      <c r="E25">
        <v>66</v>
      </c>
      <c r="F25">
        <v>-56</v>
      </c>
      <c r="G25">
        <v>-45.9</v>
      </c>
    </row>
    <row r="26" spans="1:7" x14ac:dyDescent="0.35">
      <c r="A26" t="s">
        <v>87</v>
      </c>
      <c r="B26" t="s">
        <v>63</v>
      </c>
      <c r="C26" t="s">
        <v>8</v>
      </c>
      <c r="D26">
        <v>135</v>
      </c>
      <c r="E26">
        <v>67</v>
      </c>
      <c r="F26">
        <v>-68</v>
      </c>
      <c r="G26">
        <v>-50.4</v>
      </c>
    </row>
    <row r="27" spans="1:7" x14ac:dyDescent="0.35">
      <c r="A27" t="s">
        <v>88</v>
      </c>
      <c r="B27" t="s">
        <v>63</v>
      </c>
      <c r="C27" t="s">
        <v>8</v>
      </c>
      <c r="D27">
        <v>135</v>
      </c>
      <c r="E27">
        <v>142</v>
      </c>
      <c r="F27">
        <v>7</v>
      </c>
      <c r="G27">
        <v>5.2</v>
      </c>
    </row>
    <row r="28" spans="1:7" x14ac:dyDescent="0.35">
      <c r="A28" t="s">
        <v>89</v>
      </c>
      <c r="B28" t="s">
        <v>63</v>
      </c>
      <c r="C28" t="s">
        <v>8</v>
      </c>
      <c r="D28">
        <v>135</v>
      </c>
      <c r="E28">
        <v>174</v>
      </c>
      <c r="F28">
        <v>39</v>
      </c>
      <c r="G28">
        <v>28.9</v>
      </c>
    </row>
    <row r="29" spans="1:7" x14ac:dyDescent="0.35">
      <c r="A29" t="s">
        <v>90</v>
      </c>
      <c r="B29" t="s">
        <v>63</v>
      </c>
      <c r="C29" t="s">
        <v>8</v>
      </c>
      <c r="D29">
        <v>132</v>
      </c>
      <c r="E29">
        <v>142</v>
      </c>
      <c r="F29">
        <v>10</v>
      </c>
      <c r="G29">
        <v>7.6</v>
      </c>
    </row>
    <row r="30" spans="1:7" x14ac:dyDescent="0.35">
      <c r="A30" t="s">
        <v>91</v>
      </c>
      <c r="B30" t="s">
        <v>63</v>
      </c>
      <c r="C30" t="s">
        <v>8</v>
      </c>
      <c r="D30">
        <v>152</v>
      </c>
      <c r="E30">
        <v>171</v>
      </c>
      <c r="F30">
        <v>19</v>
      </c>
      <c r="G30">
        <v>12.5</v>
      </c>
    </row>
    <row r="31" spans="1:7" x14ac:dyDescent="0.35">
      <c r="A31" t="s">
        <v>92</v>
      </c>
      <c r="B31" t="s">
        <v>63</v>
      </c>
      <c r="C31" t="s">
        <v>8</v>
      </c>
      <c r="D31">
        <v>137</v>
      </c>
      <c r="E31">
        <v>122</v>
      </c>
      <c r="F31">
        <v>-15</v>
      </c>
      <c r="G31">
        <v>-10.9</v>
      </c>
    </row>
    <row r="32" spans="1:7" x14ac:dyDescent="0.35">
      <c r="A32" t="s">
        <v>93</v>
      </c>
      <c r="B32" t="s">
        <v>63</v>
      </c>
      <c r="C32" t="s">
        <v>8</v>
      </c>
      <c r="D32">
        <v>155</v>
      </c>
      <c r="E32">
        <v>157</v>
      </c>
      <c r="F32">
        <v>2</v>
      </c>
      <c r="G32">
        <v>1.3</v>
      </c>
    </row>
    <row r="33" spans="1:7" x14ac:dyDescent="0.35">
      <c r="A33" t="s">
        <v>94</v>
      </c>
      <c r="B33" t="s">
        <v>63</v>
      </c>
      <c r="C33" t="s">
        <v>8</v>
      </c>
      <c r="D33">
        <v>149</v>
      </c>
      <c r="E33">
        <v>160</v>
      </c>
      <c r="F33">
        <v>11</v>
      </c>
      <c r="G33">
        <v>7.4</v>
      </c>
    </row>
    <row r="34" spans="1:7" x14ac:dyDescent="0.35">
      <c r="A34" t="s">
        <v>95</v>
      </c>
      <c r="B34" t="s">
        <v>63</v>
      </c>
      <c r="C34" t="s">
        <v>8</v>
      </c>
      <c r="D34">
        <v>154</v>
      </c>
      <c r="E34">
        <v>136</v>
      </c>
      <c r="F34">
        <v>-18</v>
      </c>
      <c r="G34">
        <v>-11.7</v>
      </c>
    </row>
    <row r="35" spans="1:7" x14ac:dyDescent="0.35">
      <c r="A35" t="s">
        <v>96</v>
      </c>
      <c r="B35" t="s">
        <v>63</v>
      </c>
      <c r="C35" t="s">
        <v>8</v>
      </c>
      <c r="D35">
        <v>160</v>
      </c>
      <c r="E35">
        <v>193</v>
      </c>
      <c r="F35">
        <v>33</v>
      </c>
      <c r="G35">
        <v>20.6</v>
      </c>
    </row>
    <row r="36" spans="1:7" x14ac:dyDescent="0.35">
      <c r="A36" t="s">
        <v>97</v>
      </c>
      <c r="B36" t="s">
        <v>63</v>
      </c>
      <c r="C36" t="s">
        <v>8</v>
      </c>
      <c r="D36">
        <v>166</v>
      </c>
      <c r="E36">
        <v>130</v>
      </c>
      <c r="F36">
        <v>-36</v>
      </c>
      <c r="G36">
        <v>-21.7</v>
      </c>
    </row>
    <row r="37" spans="1:7" x14ac:dyDescent="0.35">
      <c r="A37" t="s">
        <v>98</v>
      </c>
      <c r="B37" t="s">
        <v>63</v>
      </c>
      <c r="C37" t="s">
        <v>8</v>
      </c>
      <c r="D37">
        <v>176</v>
      </c>
      <c r="E37">
        <v>184</v>
      </c>
      <c r="F37">
        <v>8</v>
      </c>
      <c r="G37">
        <v>4.5</v>
      </c>
    </row>
    <row r="38" spans="1:7" x14ac:dyDescent="0.35">
      <c r="A38" t="s">
        <v>99</v>
      </c>
      <c r="B38" t="s">
        <v>63</v>
      </c>
      <c r="C38" t="s">
        <v>8</v>
      </c>
      <c r="D38">
        <v>175</v>
      </c>
      <c r="E38">
        <v>153</v>
      </c>
      <c r="F38">
        <v>-22</v>
      </c>
      <c r="G38">
        <v>-12.6</v>
      </c>
    </row>
    <row r="39" spans="1:7" x14ac:dyDescent="0.35">
      <c r="A39" t="s">
        <v>100</v>
      </c>
      <c r="B39" t="s">
        <v>63</v>
      </c>
      <c r="C39" t="s">
        <v>8</v>
      </c>
      <c r="D39">
        <v>162</v>
      </c>
      <c r="E39">
        <v>140</v>
      </c>
      <c r="F39">
        <v>-22</v>
      </c>
      <c r="G39">
        <v>-13.6</v>
      </c>
    </row>
    <row r="40" spans="1:7" x14ac:dyDescent="0.35">
      <c r="A40" t="s">
        <v>101</v>
      </c>
      <c r="B40" t="s">
        <v>63</v>
      </c>
      <c r="C40" t="s">
        <v>8</v>
      </c>
      <c r="D40">
        <v>154</v>
      </c>
      <c r="E40">
        <v>190</v>
      </c>
      <c r="F40">
        <v>36</v>
      </c>
      <c r="G40">
        <v>23.4</v>
      </c>
    </row>
    <row r="41" spans="1:7" x14ac:dyDescent="0.35">
      <c r="A41" t="s">
        <v>102</v>
      </c>
      <c r="B41" t="s">
        <v>63</v>
      </c>
      <c r="C41" t="s">
        <v>8</v>
      </c>
      <c r="D41">
        <v>182</v>
      </c>
      <c r="E41">
        <v>215</v>
      </c>
      <c r="F41">
        <v>33</v>
      </c>
      <c r="G41">
        <v>18.100000000000001</v>
      </c>
    </row>
    <row r="42" spans="1:7" x14ac:dyDescent="0.35">
      <c r="A42" t="s">
        <v>103</v>
      </c>
      <c r="B42" t="s">
        <v>63</v>
      </c>
      <c r="C42" t="s">
        <v>8</v>
      </c>
      <c r="D42">
        <v>186</v>
      </c>
      <c r="E42">
        <v>177</v>
      </c>
      <c r="F42">
        <v>-9</v>
      </c>
      <c r="G42">
        <v>-4.8</v>
      </c>
    </row>
    <row r="43" spans="1:7" x14ac:dyDescent="0.35">
      <c r="A43" t="s">
        <v>104</v>
      </c>
      <c r="B43" t="s">
        <v>63</v>
      </c>
      <c r="C43" t="s">
        <v>8</v>
      </c>
      <c r="D43">
        <v>163</v>
      </c>
      <c r="E43">
        <v>188</v>
      </c>
      <c r="F43">
        <v>25</v>
      </c>
      <c r="G43">
        <v>15.3</v>
      </c>
    </row>
    <row r="44" spans="1:7" x14ac:dyDescent="0.35">
      <c r="A44" t="s">
        <v>105</v>
      </c>
      <c r="B44" t="s">
        <v>63</v>
      </c>
      <c r="C44" t="s">
        <v>8</v>
      </c>
      <c r="D44">
        <v>189</v>
      </c>
      <c r="E44">
        <v>177</v>
      </c>
      <c r="F44">
        <v>-12</v>
      </c>
      <c r="G44">
        <v>-6.3</v>
      </c>
    </row>
    <row r="45" spans="1:7" x14ac:dyDescent="0.35">
      <c r="A45" t="s">
        <v>106</v>
      </c>
      <c r="B45" t="s">
        <v>63</v>
      </c>
      <c r="C45" t="s">
        <v>8</v>
      </c>
      <c r="D45">
        <v>166</v>
      </c>
      <c r="E45">
        <v>165</v>
      </c>
      <c r="F45">
        <v>-1</v>
      </c>
      <c r="G45">
        <v>-0.6</v>
      </c>
    </row>
    <row r="46" spans="1:7" x14ac:dyDescent="0.35">
      <c r="A46" t="s">
        <v>107</v>
      </c>
      <c r="B46" t="s">
        <v>63</v>
      </c>
      <c r="C46" t="s">
        <v>8</v>
      </c>
      <c r="D46">
        <v>165</v>
      </c>
      <c r="E46">
        <v>217</v>
      </c>
      <c r="F46">
        <v>52</v>
      </c>
      <c r="G46">
        <v>31.5</v>
      </c>
    </row>
    <row r="47" spans="1:7" x14ac:dyDescent="0.35">
      <c r="A47" t="s">
        <v>108</v>
      </c>
      <c r="B47" t="s">
        <v>63</v>
      </c>
      <c r="C47" t="s">
        <v>8</v>
      </c>
      <c r="D47">
        <v>191</v>
      </c>
      <c r="E47">
        <v>214</v>
      </c>
      <c r="F47">
        <v>23</v>
      </c>
      <c r="G47">
        <v>12</v>
      </c>
    </row>
    <row r="48" spans="1:7" x14ac:dyDescent="0.35">
      <c r="A48" t="s">
        <v>109</v>
      </c>
      <c r="B48" t="s">
        <v>63</v>
      </c>
      <c r="C48" t="s">
        <v>8</v>
      </c>
      <c r="D48">
        <v>180</v>
      </c>
      <c r="E48">
        <v>175</v>
      </c>
      <c r="F48">
        <v>-5</v>
      </c>
      <c r="G48">
        <v>-2.8</v>
      </c>
    </row>
    <row r="49" spans="1:7" x14ac:dyDescent="0.35">
      <c r="A49" t="s">
        <v>110</v>
      </c>
      <c r="B49" t="s">
        <v>63</v>
      </c>
      <c r="C49" t="s">
        <v>8</v>
      </c>
      <c r="D49">
        <v>163</v>
      </c>
      <c r="E49">
        <v>164</v>
      </c>
      <c r="F49">
        <v>1</v>
      </c>
      <c r="G49">
        <v>0.6</v>
      </c>
    </row>
    <row r="50" spans="1:7" x14ac:dyDescent="0.35">
      <c r="A50" t="s">
        <v>111</v>
      </c>
      <c r="B50" t="s">
        <v>63</v>
      </c>
      <c r="C50" t="s">
        <v>8</v>
      </c>
      <c r="D50">
        <v>194</v>
      </c>
      <c r="E50">
        <v>204</v>
      </c>
      <c r="F50">
        <v>10</v>
      </c>
      <c r="G50">
        <v>5.2</v>
      </c>
    </row>
    <row r="51" spans="1:7" x14ac:dyDescent="0.35">
      <c r="A51" t="s">
        <v>112</v>
      </c>
      <c r="B51" t="s">
        <v>63</v>
      </c>
      <c r="C51" t="s">
        <v>8</v>
      </c>
      <c r="D51">
        <v>167</v>
      </c>
      <c r="E51">
        <v>154</v>
      </c>
      <c r="F51">
        <v>-13</v>
      </c>
      <c r="G51">
        <v>-7.8</v>
      </c>
    </row>
    <row r="52" spans="1:7" x14ac:dyDescent="0.35">
      <c r="A52" t="s">
        <v>113</v>
      </c>
      <c r="B52" t="s">
        <v>63</v>
      </c>
      <c r="C52" t="s">
        <v>8</v>
      </c>
      <c r="D52">
        <v>179</v>
      </c>
      <c r="E52">
        <v>139</v>
      </c>
      <c r="F52">
        <v>-40</v>
      </c>
      <c r="G52">
        <v>-22.3</v>
      </c>
    </row>
    <row r="53" spans="1:7" x14ac:dyDescent="0.35">
      <c r="A53" t="s">
        <v>114</v>
      </c>
      <c r="B53" t="s">
        <v>63</v>
      </c>
      <c r="C53" t="s">
        <v>8</v>
      </c>
      <c r="D53">
        <v>185</v>
      </c>
      <c r="E53">
        <v>204</v>
      </c>
      <c r="F53">
        <v>19</v>
      </c>
      <c r="G53">
        <v>10.3</v>
      </c>
    </row>
    <row r="54" spans="1:7" x14ac:dyDescent="0.35">
      <c r="A54" t="s">
        <v>62</v>
      </c>
      <c r="B54" t="s">
        <v>63</v>
      </c>
      <c r="C54" t="s">
        <v>14</v>
      </c>
      <c r="D54">
        <v>74</v>
      </c>
      <c r="E54">
        <v>57</v>
      </c>
      <c r="F54">
        <v>-17</v>
      </c>
      <c r="G54">
        <v>-23</v>
      </c>
    </row>
    <row r="55" spans="1:7" x14ac:dyDescent="0.35">
      <c r="A55" t="s">
        <v>64</v>
      </c>
      <c r="B55" t="s">
        <v>63</v>
      </c>
      <c r="C55" t="s">
        <v>14</v>
      </c>
      <c r="D55">
        <v>72</v>
      </c>
      <c r="E55">
        <v>74</v>
      </c>
      <c r="F55">
        <v>2</v>
      </c>
      <c r="G55">
        <v>2.8</v>
      </c>
    </row>
    <row r="56" spans="1:7" x14ac:dyDescent="0.35">
      <c r="A56" t="s">
        <v>65</v>
      </c>
      <c r="B56" t="s">
        <v>63</v>
      </c>
      <c r="C56" t="s">
        <v>14</v>
      </c>
      <c r="D56">
        <v>72</v>
      </c>
      <c r="E56">
        <v>89</v>
      </c>
      <c r="F56">
        <v>17</v>
      </c>
      <c r="G56">
        <v>23.6</v>
      </c>
    </row>
    <row r="57" spans="1:7" x14ac:dyDescent="0.35">
      <c r="A57" t="s">
        <v>66</v>
      </c>
      <c r="B57" t="s">
        <v>63</v>
      </c>
      <c r="C57" t="s">
        <v>14</v>
      </c>
      <c r="D57">
        <v>77</v>
      </c>
      <c r="E57">
        <v>67</v>
      </c>
      <c r="F57">
        <v>-10</v>
      </c>
      <c r="G57">
        <v>-13</v>
      </c>
    </row>
    <row r="58" spans="1:7" x14ac:dyDescent="0.35">
      <c r="A58" t="s">
        <v>67</v>
      </c>
      <c r="B58" t="s">
        <v>63</v>
      </c>
      <c r="C58" t="s">
        <v>14</v>
      </c>
      <c r="D58">
        <v>81</v>
      </c>
      <c r="E58">
        <v>90</v>
      </c>
      <c r="F58">
        <v>9</v>
      </c>
      <c r="G58">
        <v>11.1</v>
      </c>
    </row>
    <row r="59" spans="1:7" x14ac:dyDescent="0.35">
      <c r="A59" t="s">
        <v>68</v>
      </c>
      <c r="B59" t="s">
        <v>63</v>
      </c>
      <c r="C59" t="s">
        <v>14</v>
      </c>
      <c r="D59">
        <v>78</v>
      </c>
      <c r="E59">
        <v>75</v>
      </c>
      <c r="F59">
        <v>-3</v>
      </c>
      <c r="G59">
        <v>-3.8</v>
      </c>
    </row>
    <row r="60" spans="1:7" x14ac:dyDescent="0.35">
      <c r="A60" t="s">
        <v>69</v>
      </c>
      <c r="B60" t="s">
        <v>63</v>
      </c>
      <c r="C60" t="s">
        <v>14</v>
      </c>
      <c r="D60">
        <v>94</v>
      </c>
      <c r="E60">
        <v>92</v>
      </c>
      <c r="F60">
        <v>-2</v>
      </c>
      <c r="G60">
        <v>-2.1</v>
      </c>
    </row>
    <row r="61" spans="1:7" x14ac:dyDescent="0.35">
      <c r="A61" t="s">
        <v>70</v>
      </c>
      <c r="B61" t="s">
        <v>63</v>
      </c>
      <c r="C61" t="s">
        <v>14</v>
      </c>
      <c r="D61">
        <v>87</v>
      </c>
      <c r="E61">
        <v>89</v>
      </c>
      <c r="F61">
        <v>2</v>
      </c>
      <c r="G61">
        <v>2.2999999999999998</v>
      </c>
    </row>
    <row r="62" spans="1:7" x14ac:dyDescent="0.35">
      <c r="A62" t="s">
        <v>71</v>
      </c>
      <c r="B62" t="s">
        <v>63</v>
      </c>
      <c r="C62" t="s">
        <v>14</v>
      </c>
      <c r="D62">
        <v>84</v>
      </c>
      <c r="E62">
        <v>78</v>
      </c>
      <c r="F62">
        <v>-6</v>
      </c>
      <c r="G62">
        <v>-7.1</v>
      </c>
    </row>
    <row r="63" spans="1:7" x14ac:dyDescent="0.35">
      <c r="A63" t="s">
        <v>72</v>
      </c>
      <c r="B63" t="s">
        <v>63</v>
      </c>
      <c r="C63" t="s">
        <v>14</v>
      </c>
      <c r="D63">
        <v>91</v>
      </c>
      <c r="E63">
        <v>98</v>
      </c>
      <c r="F63">
        <v>7</v>
      </c>
      <c r="G63">
        <v>7.7</v>
      </c>
    </row>
    <row r="64" spans="1:7" x14ac:dyDescent="0.35">
      <c r="A64" t="s">
        <v>73</v>
      </c>
      <c r="B64" t="s">
        <v>63</v>
      </c>
      <c r="C64" t="s">
        <v>14</v>
      </c>
      <c r="D64">
        <v>91</v>
      </c>
      <c r="E64">
        <v>83</v>
      </c>
      <c r="F64">
        <v>-8</v>
      </c>
      <c r="G64">
        <v>-8.8000000000000007</v>
      </c>
    </row>
    <row r="65" spans="1:7" x14ac:dyDescent="0.35">
      <c r="A65" t="s">
        <v>74</v>
      </c>
      <c r="B65" t="s">
        <v>63</v>
      </c>
      <c r="C65" t="s">
        <v>14</v>
      </c>
      <c r="D65">
        <v>90</v>
      </c>
      <c r="E65">
        <v>105</v>
      </c>
      <c r="F65">
        <v>15</v>
      </c>
      <c r="G65">
        <v>16.7</v>
      </c>
    </row>
    <row r="66" spans="1:7" x14ac:dyDescent="0.35">
      <c r="A66" t="s">
        <v>75</v>
      </c>
      <c r="B66" t="s">
        <v>63</v>
      </c>
      <c r="C66" t="s">
        <v>14</v>
      </c>
      <c r="D66">
        <v>96</v>
      </c>
      <c r="E66">
        <v>122</v>
      </c>
      <c r="F66">
        <v>26</v>
      </c>
      <c r="G66">
        <v>27.1</v>
      </c>
    </row>
    <row r="67" spans="1:7" x14ac:dyDescent="0.35">
      <c r="A67" t="s">
        <v>76</v>
      </c>
      <c r="B67" t="s">
        <v>63</v>
      </c>
      <c r="C67" t="s">
        <v>14</v>
      </c>
      <c r="D67">
        <v>112</v>
      </c>
      <c r="E67">
        <v>82</v>
      </c>
      <c r="F67">
        <v>-30</v>
      </c>
      <c r="G67">
        <v>-26.8</v>
      </c>
    </row>
    <row r="68" spans="1:7" x14ac:dyDescent="0.35">
      <c r="A68" t="s">
        <v>77</v>
      </c>
      <c r="B68" t="s">
        <v>63</v>
      </c>
      <c r="C68" t="s">
        <v>14</v>
      </c>
      <c r="D68">
        <v>101</v>
      </c>
      <c r="E68">
        <v>116</v>
      </c>
      <c r="F68">
        <v>15</v>
      </c>
      <c r="G68">
        <v>14.9</v>
      </c>
    </row>
    <row r="69" spans="1:7" x14ac:dyDescent="0.35">
      <c r="A69" t="s">
        <v>78</v>
      </c>
      <c r="B69" t="s">
        <v>63</v>
      </c>
      <c r="C69" t="s">
        <v>14</v>
      </c>
      <c r="D69">
        <v>103</v>
      </c>
      <c r="E69">
        <v>89</v>
      </c>
      <c r="F69">
        <v>-14</v>
      </c>
      <c r="G69">
        <v>-13.6</v>
      </c>
    </row>
    <row r="70" spans="1:7" x14ac:dyDescent="0.35">
      <c r="A70" t="s">
        <v>79</v>
      </c>
      <c r="B70" t="s">
        <v>63</v>
      </c>
      <c r="C70" t="s">
        <v>14</v>
      </c>
      <c r="D70">
        <v>122</v>
      </c>
      <c r="E70">
        <v>116</v>
      </c>
      <c r="F70">
        <v>-6</v>
      </c>
      <c r="G70">
        <v>-4.9000000000000004</v>
      </c>
    </row>
    <row r="71" spans="1:7" x14ac:dyDescent="0.35">
      <c r="A71" t="s">
        <v>80</v>
      </c>
      <c r="B71" t="s">
        <v>63</v>
      </c>
      <c r="C71" t="s">
        <v>14</v>
      </c>
      <c r="D71">
        <v>114</v>
      </c>
      <c r="E71">
        <v>131</v>
      </c>
      <c r="F71">
        <v>17</v>
      </c>
      <c r="G71">
        <v>14.9</v>
      </c>
    </row>
    <row r="72" spans="1:7" x14ac:dyDescent="0.35">
      <c r="A72" t="s">
        <v>81</v>
      </c>
      <c r="B72" t="s">
        <v>63</v>
      </c>
      <c r="C72" t="s">
        <v>14</v>
      </c>
      <c r="D72">
        <v>125</v>
      </c>
      <c r="E72">
        <v>99</v>
      </c>
      <c r="F72">
        <v>-26</v>
      </c>
      <c r="G72">
        <v>-20.8</v>
      </c>
    </row>
    <row r="73" spans="1:7" x14ac:dyDescent="0.35">
      <c r="A73" t="s">
        <v>82</v>
      </c>
      <c r="B73" t="s">
        <v>63</v>
      </c>
      <c r="C73" t="s">
        <v>14</v>
      </c>
      <c r="D73">
        <v>110</v>
      </c>
      <c r="E73">
        <v>116</v>
      </c>
      <c r="F73">
        <v>6</v>
      </c>
      <c r="G73">
        <v>5.5</v>
      </c>
    </row>
    <row r="74" spans="1:7" x14ac:dyDescent="0.35">
      <c r="A74" t="s">
        <v>83</v>
      </c>
      <c r="B74" t="s">
        <v>63</v>
      </c>
      <c r="C74" t="s">
        <v>14</v>
      </c>
      <c r="D74">
        <v>121</v>
      </c>
      <c r="E74">
        <v>54</v>
      </c>
      <c r="F74">
        <v>-67</v>
      </c>
      <c r="G74">
        <v>-55.4</v>
      </c>
    </row>
    <row r="75" spans="1:7" x14ac:dyDescent="0.35">
      <c r="A75" t="s">
        <v>84</v>
      </c>
      <c r="B75" t="s">
        <v>63</v>
      </c>
      <c r="C75" t="s">
        <v>14</v>
      </c>
      <c r="D75">
        <v>131</v>
      </c>
      <c r="E75">
        <v>61</v>
      </c>
      <c r="F75">
        <v>-70</v>
      </c>
      <c r="G75">
        <v>-53.4</v>
      </c>
    </row>
    <row r="76" spans="1:7" x14ac:dyDescent="0.35">
      <c r="A76" t="s">
        <v>85</v>
      </c>
      <c r="B76" t="s">
        <v>63</v>
      </c>
      <c r="C76" t="s">
        <v>14</v>
      </c>
      <c r="D76">
        <v>140</v>
      </c>
      <c r="E76">
        <v>45</v>
      </c>
      <c r="F76">
        <v>-95</v>
      </c>
      <c r="G76">
        <v>-67.900000000000006</v>
      </c>
    </row>
    <row r="77" spans="1:7" x14ac:dyDescent="0.35">
      <c r="A77" t="s">
        <v>86</v>
      </c>
      <c r="B77" t="s">
        <v>63</v>
      </c>
      <c r="C77" t="s">
        <v>14</v>
      </c>
      <c r="D77">
        <v>128</v>
      </c>
      <c r="E77">
        <v>54</v>
      </c>
      <c r="F77">
        <v>-74</v>
      </c>
      <c r="G77">
        <v>-57.8</v>
      </c>
    </row>
    <row r="78" spans="1:7" x14ac:dyDescent="0.35">
      <c r="A78" t="s">
        <v>87</v>
      </c>
      <c r="B78" t="s">
        <v>63</v>
      </c>
      <c r="C78" t="s">
        <v>14</v>
      </c>
      <c r="D78">
        <v>143</v>
      </c>
      <c r="E78">
        <v>52</v>
      </c>
      <c r="F78">
        <v>-91</v>
      </c>
      <c r="G78">
        <v>-63.6</v>
      </c>
    </row>
    <row r="79" spans="1:7" x14ac:dyDescent="0.35">
      <c r="A79" t="s">
        <v>88</v>
      </c>
      <c r="B79" t="s">
        <v>63</v>
      </c>
      <c r="C79" t="s">
        <v>14</v>
      </c>
      <c r="D79">
        <v>127</v>
      </c>
      <c r="E79">
        <v>132</v>
      </c>
      <c r="F79">
        <v>5</v>
      </c>
      <c r="G79">
        <v>3.9</v>
      </c>
    </row>
    <row r="80" spans="1:7" x14ac:dyDescent="0.35">
      <c r="A80" t="s">
        <v>89</v>
      </c>
      <c r="B80" t="s">
        <v>63</v>
      </c>
      <c r="C80" t="s">
        <v>14</v>
      </c>
      <c r="D80">
        <v>136</v>
      </c>
      <c r="E80">
        <v>123</v>
      </c>
      <c r="F80">
        <v>-13</v>
      </c>
      <c r="G80">
        <v>-9.6</v>
      </c>
    </row>
    <row r="81" spans="1:7" x14ac:dyDescent="0.35">
      <c r="A81" t="s">
        <v>90</v>
      </c>
      <c r="B81" t="s">
        <v>63</v>
      </c>
      <c r="C81" t="s">
        <v>14</v>
      </c>
      <c r="D81">
        <v>134</v>
      </c>
      <c r="E81">
        <v>171</v>
      </c>
      <c r="F81">
        <v>37</v>
      </c>
      <c r="G81">
        <v>27.6</v>
      </c>
    </row>
    <row r="82" spans="1:7" x14ac:dyDescent="0.35">
      <c r="A82" t="s">
        <v>91</v>
      </c>
      <c r="B82" t="s">
        <v>63</v>
      </c>
      <c r="C82" t="s">
        <v>14</v>
      </c>
      <c r="D82">
        <v>142</v>
      </c>
      <c r="E82">
        <v>170</v>
      </c>
      <c r="F82">
        <v>28</v>
      </c>
      <c r="G82">
        <v>19.7</v>
      </c>
    </row>
    <row r="83" spans="1:7" x14ac:dyDescent="0.35">
      <c r="A83" t="s">
        <v>92</v>
      </c>
      <c r="B83" t="s">
        <v>63</v>
      </c>
      <c r="C83" t="s">
        <v>14</v>
      </c>
      <c r="D83">
        <v>148</v>
      </c>
      <c r="E83">
        <v>113</v>
      </c>
      <c r="F83">
        <v>-35</v>
      </c>
      <c r="G83">
        <v>-23.6</v>
      </c>
    </row>
    <row r="84" spans="1:7" x14ac:dyDescent="0.35">
      <c r="A84" t="s">
        <v>93</v>
      </c>
      <c r="B84" t="s">
        <v>63</v>
      </c>
      <c r="C84" t="s">
        <v>14</v>
      </c>
      <c r="D84">
        <v>164</v>
      </c>
      <c r="E84">
        <v>174</v>
      </c>
      <c r="F84">
        <v>10</v>
      </c>
      <c r="G84">
        <v>6.1</v>
      </c>
    </row>
    <row r="85" spans="1:7" x14ac:dyDescent="0.35">
      <c r="A85" t="s">
        <v>94</v>
      </c>
      <c r="B85" t="s">
        <v>63</v>
      </c>
      <c r="C85" t="s">
        <v>14</v>
      </c>
      <c r="D85">
        <v>166</v>
      </c>
      <c r="E85">
        <v>184</v>
      </c>
      <c r="F85">
        <v>18</v>
      </c>
      <c r="G85">
        <v>10.8</v>
      </c>
    </row>
    <row r="86" spans="1:7" x14ac:dyDescent="0.35">
      <c r="A86" t="s">
        <v>95</v>
      </c>
      <c r="B86" t="s">
        <v>63</v>
      </c>
      <c r="C86" t="s">
        <v>14</v>
      </c>
      <c r="D86">
        <v>165</v>
      </c>
      <c r="E86">
        <v>129</v>
      </c>
      <c r="F86">
        <v>-36</v>
      </c>
      <c r="G86">
        <v>-21.8</v>
      </c>
    </row>
    <row r="87" spans="1:7" x14ac:dyDescent="0.35">
      <c r="A87" t="s">
        <v>96</v>
      </c>
      <c r="B87" t="s">
        <v>63</v>
      </c>
      <c r="C87" t="s">
        <v>14</v>
      </c>
      <c r="D87">
        <v>157</v>
      </c>
      <c r="E87">
        <v>134</v>
      </c>
      <c r="F87">
        <v>-23</v>
      </c>
      <c r="G87">
        <v>-14.6</v>
      </c>
    </row>
    <row r="88" spans="1:7" x14ac:dyDescent="0.35">
      <c r="A88" t="s">
        <v>97</v>
      </c>
      <c r="B88" t="s">
        <v>63</v>
      </c>
      <c r="C88" t="s">
        <v>14</v>
      </c>
      <c r="D88">
        <v>156</v>
      </c>
      <c r="E88">
        <v>124</v>
      </c>
      <c r="F88">
        <v>-32</v>
      </c>
      <c r="G88">
        <v>-20.5</v>
      </c>
    </row>
    <row r="89" spans="1:7" x14ac:dyDescent="0.35">
      <c r="A89" t="s">
        <v>98</v>
      </c>
      <c r="B89" t="s">
        <v>63</v>
      </c>
      <c r="C89" t="s">
        <v>14</v>
      </c>
      <c r="D89">
        <v>158</v>
      </c>
      <c r="E89">
        <v>202</v>
      </c>
      <c r="F89">
        <v>44</v>
      </c>
      <c r="G89">
        <v>27.8</v>
      </c>
    </row>
    <row r="90" spans="1:7" x14ac:dyDescent="0.35">
      <c r="A90" t="s">
        <v>99</v>
      </c>
      <c r="B90" t="s">
        <v>63</v>
      </c>
      <c r="C90" t="s">
        <v>14</v>
      </c>
      <c r="D90">
        <v>157</v>
      </c>
      <c r="E90">
        <v>188</v>
      </c>
      <c r="F90">
        <v>31</v>
      </c>
      <c r="G90">
        <v>19.7</v>
      </c>
    </row>
    <row r="91" spans="1:7" x14ac:dyDescent="0.35">
      <c r="A91" t="s">
        <v>100</v>
      </c>
      <c r="B91" t="s">
        <v>63</v>
      </c>
      <c r="C91" t="s">
        <v>14</v>
      </c>
      <c r="D91">
        <v>166</v>
      </c>
      <c r="E91">
        <v>161</v>
      </c>
      <c r="F91">
        <v>-5</v>
      </c>
      <c r="G91">
        <v>-3</v>
      </c>
    </row>
    <row r="92" spans="1:7" x14ac:dyDescent="0.35">
      <c r="A92" t="s">
        <v>101</v>
      </c>
      <c r="B92" t="s">
        <v>63</v>
      </c>
      <c r="C92" t="s">
        <v>14</v>
      </c>
      <c r="D92">
        <v>186</v>
      </c>
      <c r="E92">
        <v>213</v>
      </c>
      <c r="F92">
        <v>27</v>
      </c>
      <c r="G92">
        <v>14.5</v>
      </c>
    </row>
    <row r="93" spans="1:7" x14ac:dyDescent="0.35">
      <c r="A93" t="s">
        <v>102</v>
      </c>
      <c r="B93" t="s">
        <v>63</v>
      </c>
      <c r="C93" t="s">
        <v>14</v>
      </c>
      <c r="D93">
        <v>175</v>
      </c>
      <c r="E93">
        <v>192</v>
      </c>
      <c r="F93">
        <v>17</v>
      </c>
      <c r="G93">
        <v>9.6999999999999993</v>
      </c>
    </row>
    <row r="94" spans="1:7" x14ac:dyDescent="0.35">
      <c r="A94" t="s">
        <v>103</v>
      </c>
      <c r="B94" t="s">
        <v>63</v>
      </c>
      <c r="C94" t="s">
        <v>14</v>
      </c>
      <c r="D94">
        <v>163</v>
      </c>
      <c r="E94">
        <v>158</v>
      </c>
      <c r="F94">
        <v>-5</v>
      </c>
      <c r="G94">
        <v>-3.1</v>
      </c>
    </row>
    <row r="95" spans="1:7" x14ac:dyDescent="0.35">
      <c r="A95" t="s">
        <v>104</v>
      </c>
      <c r="B95" t="s">
        <v>63</v>
      </c>
      <c r="C95" t="s">
        <v>14</v>
      </c>
      <c r="D95">
        <v>192</v>
      </c>
      <c r="E95">
        <v>182</v>
      </c>
      <c r="F95">
        <v>-10</v>
      </c>
      <c r="G95">
        <v>-5.2</v>
      </c>
    </row>
    <row r="96" spans="1:7" x14ac:dyDescent="0.35">
      <c r="A96" t="s">
        <v>105</v>
      </c>
      <c r="B96" t="s">
        <v>63</v>
      </c>
      <c r="C96" t="s">
        <v>14</v>
      </c>
      <c r="D96">
        <v>177</v>
      </c>
      <c r="E96">
        <v>197</v>
      </c>
      <c r="F96">
        <v>20</v>
      </c>
      <c r="G96">
        <v>11.3</v>
      </c>
    </row>
    <row r="97" spans="1:7" x14ac:dyDescent="0.35">
      <c r="A97" t="s">
        <v>106</v>
      </c>
      <c r="B97" t="s">
        <v>63</v>
      </c>
      <c r="C97" t="s">
        <v>14</v>
      </c>
      <c r="D97">
        <v>160</v>
      </c>
      <c r="E97">
        <v>183</v>
      </c>
      <c r="F97">
        <v>23</v>
      </c>
      <c r="G97">
        <v>14.4</v>
      </c>
    </row>
    <row r="98" spans="1:7" x14ac:dyDescent="0.35">
      <c r="A98" t="s">
        <v>107</v>
      </c>
      <c r="B98" t="s">
        <v>63</v>
      </c>
      <c r="C98" t="s">
        <v>14</v>
      </c>
      <c r="D98">
        <v>176</v>
      </c>
      <c r="E98">
        <v>207</v>
      </c>
      <c r="F98">
        <v>31</v>
      </c>
      <c r="G98">
        <v>17.600000000000001</v>
      </c>
    </row>
    <row r="99" spans="1:7" x14ac:dyDescent="0.35">
      <c r="A99" t="s">
        <v>108</v>
      </c>
      <c r="B99" t="s">
        <v>63</v>
      </c>
      <c r="C99" t="s">
        <v>14</v>
      </c>
      <c r="D99">
        <v>163</v>
      </c>
      <c r="E99">
        <v>216</v>
      </c>
      <c r="F99">
        <v>53</v>
      </c>
      <c r="G99">
        <v>32.5</v>
      </c>
    </row>
    <row r="100" spans="1:7" x14ac:dyDescent="0.35">
      <c r="A100" t="s">
        <v>109</v>
      </c>
      <c r="B100" t="s">
        <v>63</v>
      </c>
      <c r="C100" t="s">
        <v>14</v>
      </c>
      <c r="D100">
        <v>161</v>
      </c>
      <c r="E100">
        <v>148</v>
      </c>
      <c r="F100">
        <v>-13</v>
      </c>
      <c r="G100">
        <v>-8.1</v>
      </c>
    </row>
    <row r="101" spans="1:7" x14ac:dyDescent="0.35">
      <c r="A101" t="s">
        <v>110</v>
      </c>
      <c r="B101" t="s">
        <v>63</v>
      </c>
      <c r="C101" t="s">
        <v>14</v>
      </c>
      <c r="D101">
        <v>179</v>
      </c>
      <c r="E101">
        <v>191</v>
      </c>
      <c r="F101">
        <v>12</v>
      </c>
      <c r="G101">
        <v>6.7</v>
      </c>
    </row>
    <row r="102" spans="1:7" x14ac:dyDescent="0.35">
      <c r="A102" t="s">
        <v>111</v>
      </c>
      <c r="B102" t="s">
        <v>63</v>
      </c>
      <c r="C102" t="s">
        <v>14</v>
      </c>
      <c r="D102">
        <v>166</v>
      </c>
      <c r="E102">
        <v>142</v>
      </c>
      <c r="F102">
        <v>-24</v>
      </c>
      <c r="G102">
        <v>-14.5</v>
      </c>
    </row>
    <row r="103" spans="1:7" x14ac:dyDescent="0.35">
      <c r="A103" t="s">
        <v>112</v>
      </c>
      <c r="B103" t="s">
        <v>63</v>
      </c>
      <c r="C103" t="s">
        <v>14</v>
      </c>
      <c r="D103">
        <v>189</v>
      </c>
      <c r="E103">
        <v>153</v>
      </c>
      <c r="F103">
        <v>-36</v>
      </c>
      <c r="G103">
        <v>-19</v>
      </c>
    </row>
    <row r="104" spans="1:7" x14ac:dyDescent="0.35">
      <c r="A104" t="s">
        <v>113</v>
      </c>
      <c r="B104" t="s">
        <v>63</v>
      </c>
      <c r="C104" t="s">
        <v>14</v>
      </c>
      <c r="D104">
        <v>179</v>
      </c>
      <c r="E104">
        <v>186</v>
      </c>
      <c r="F104">
        <v>7</v>
      </c>
      <c r="G104">
        <v>3.9</v>
      </c>
    </row>
    <row r="105" spans="1:7" x14ac:dyDescent="0.35">
      <c r="A105" t="s">
        <v>114</v>
      </c>
      <c r="B105" t="s">
        <v>63</v>
      </c>
      <c r="C105" t="s">
        <v>14</v>
      </c>
      <c r="D105">
        <v>173</v>
      </c>
      <c r="E105">
        <v>183</v>
      </c>
      <c r="F105">
        <v>10</v>
      </c>
      <c r="G105">
        <v>5.8</v>
      </c>
    </row>
    <row r="106" spans="1:7" x14ac:dyDescent="0.35">
      <c r="A106" t="s">
        <v>62</v>
      </c>
      <c r="B106" t="s">
        <v>63</v>
      </c>
      <c r="C106" t="s">
        <v>22</v>
      </c>
      <c r="D106">
        <v>66</v>
      </c>
      <c r="E106">
        <v>60</v>
      </c>
      <c r="F106">
        <v>-6</v>
      </c>
      <c r="G106">
        <v>-9.1</v>
      </c>
    </row>
    <row r="107" spans="1:7" x14ac:dyDescent="0.35">
      <c r="A107" t="s">
        <v>64</v>
      </c>
      <c r="B107" t="s">
        <v>63</v>
      </c>
      <c r="C107" t="s">
        <v>22</v>
      </c>
      <c r="D107">
        <v>74</v>
      </c>
      <c r="E107">
        <v>65</v>
      </c>
      <c r="F107">
        <v>-9</v>
      </c>
      <c r="G107">
        <v>-12.2</v>
      </c>
    </row>
    <row r="108" spans="1:7" x14ac:dyDescent="0.35">
      <c r="A108" t="s">
        <v>65</v>
      </c>
      <c r="B108" t="s">
        <v>63</v>
      </c>
      <c r="C108" t="s">
        <v>22</v>
      </c>
      <c r="D108">
        <v>70</v>
      </c>
      <c r="E108">
        <v>60</v>
      </c>
      <c r="F108">
        <v>-10</v>
      </c>
      <c r="G108">
        <v>-14.3</v>
      </c>
    </row>
    <row r="109" spans="1:7" x14ac:dyDescent="0.35">
      <c r="A109" t="s">
        <v>66</v>
      </c>
      <c r="B109" t="s">
        <v>63</v>
      </c>
      <c r="C109" t="s">
        <v>22</v>
      </c>
      <c r="D109">
        <v>79</v>
      </c>
      <c r="E109">
        <v>75</v>
      </c>
      <c r="F109">
        <v>-4</v>
      </c>
      <c r="G109">
        <v>-5.0999999999999996</v>
      </c>
    </row>
    <row r="110" spans="1:7" x14ac:dyDescent="0.35">
      <c r="A110" t="s">
        <v>67</v>
      </c>
      <c r="B110" t="s">
        <v>63</v>
      </c>
      <c r="C110" t="s">
        <v>22</v>
      </c>
      <c r="D110">
        <v>86</v>
      </c>
      <c r="E110">
        <v>96</v>
      </c>
      <c r="F110">
        <v>10</v>
      </c>
      <c r="G110">
        <v>11.6</v>
      </c>
    </row>
    <row r="111" spans="1:7" x14ac:dyDescent="0.35">
      <c r="A111" t="s">
        <v>68</v>
      </c>
      <c r="B111" t="s">
        <v>63</v>
      </c>
      <c r="C111" t="s">
        <v>22</v>
      </c>
      <c r="D111">
        <v>74</v>
      </c>
      <c r="E111">
        <v>87</v>
      </c>
      <c r="F111">
        <v>13</v>
      </c>
      <c r="G111">
        <v>17.600000000000001</v>
      </c>
    </row>
    <row r="112" spans="1:7" x14ac:dyDescent="0.35">
      <c r="A112" t="s">
        <v>69</v>
      </c>
      <c r="B112" t="s">
        <v>63</v>
      </c>
      <c r="C112" t="s">
        <v>22</v>
      </c>
      <c r="D112">
        <v>85</v>
      </c>
      <c r="E112">
        <v>67</v>
      </c>
      <c r="F112">
        <v>-18</v>
      </c>
      <c r="G112">
        <v>-21.2</v>
      </c>
    </row>
    <row r="113" spans="1:7" x14ac:dyDescent="0.35">
      <c r="A113" t="s">
        <v>70</v>
      </c>
      <c r="B113" t="s">
        <v>63</v>
      </c>
      <c r="C113" t="s">
        <v>22</v>
      </c>
      <c r="D113">
        <v>88</v>
      </c>
      <c r="E113">
        <v>87</v>
      </c>
      <c r="F113">
        <v>-1</v>
      </c>
      <c r="G113">
        <v>-1.1000000000000001</v>
      </c>
    </row>
    <row r="114" spans="1:7" x14ac:dyDescent="0.35">
      <c r="A114" t="s">
        <v>71</v>
      </c>
      <c r="B114" t="s">
        <v>63</v>
      </c>
      <c r="C114" t="s">
        <v>22</v>
      </c>
      <c r="D114">
        <v>83</v>
      </c>
      <c r="E114">
        <v>83</v>
      </c>
      <c r="F114">
        <v>0</v>
      </c>
      <c r="G114">
        <v>0</v>
      </c>
    </row>
    <row r="115" spans="1:7" x14ac:dyDescent="0.35">
      <c r="A115" t="s">
        <v>72</v>
      </c>
      <c r="B115" t="s">
        <v>63</v>
      </c>
      <c r="C115" t="s">
        <v>22</v>
      </c>
      <c r="D115">
        <v>84</v>
      </c>
      <c r="E115">
        <v>80</v>
      </c>
      <c r="F115">
        <v>-4</v>
      </c>
      <c r="G115">
        <v>-4.8</v>
      </c>
    </row>
    <row r="116" spans="1:7" x14ac:dyDescent="0.35">
      <c r="A116" t="s">
        <v>73</v>
      </c>
      <c r="B116" t="s">
        <v>63</v>
      </c>
      <c r="C116" t="s">
        <v>22</v>
      </c>
      <c r="D116">
        <v>91</v>
      </c>
      <c r="E116">
        <v>92</v>
      </c>
      <c r="F116">
        <v>1</v>
      </c>
      <c r="G116">
        <v>1.1000000000000001</v>
      </c>
    </row>
    <row r="117" spans="1:7" x14ac:dyDescent="0.35">
      <c r="A117" t="s">
        <v>74</v>
      </c>
      <c r="B117" t="s">
        <v>63</v>
      </c>
      <c r="C117" t="s">
        <v>22</v>
      </c>
      <c r="D117">
        <v>98</v>
      </c>
      <c r="E117">
        <v>88</v>
      </c>
      <c r="F117">
        <v>-10</v>
      </c>
      <c r="G117">
        <v>-10.199999999999999</v>
      </c>
    </row>
    <row r="118" spans="1:7" x14ac:dyDescent="0.35">
      <c r="A118" t="s">
        <v>75</v>
      </c>
      <c r="B118" t="s">
        <v>63</v>
      </c>
      <c r="C118" t="s">
        <v>22</v>
      </c>
      <c r="D118">
        <v>110</v>
      </c>
      <c r="E118">
        <v>115</v>
      </c>
      <c r="F118">
        <v>5</v>
      </c>
      <c r="G118">
        <v>4.5</v>
      </c>
    </row>
    <row r="119" spans="1:7" x14ac:dyDescent="0.35">
      <c r="A119" t="s">
        <v>76</v>
      </c>
      <c r="B119" t="s">
        <v>63</v>
      </c>
      <c r="C119" t="s">
        <v>22</v>
      </c>
      <c r="D119">
        <v>103</v>
      </c>
      <c r="E119">
        <v>111</v>
      </c>
      <c r="F119">
        <v>8</v>
      </c>
      <c r="G119">
        <v>7.8</v>
      </c>
    </row>
    <row r="120" spans="1:7" x14ac:dyDescent="0.35">
      <c r="A120" t="s">
        <v>77</v>
      </c>
      <c r="B120" t="s">
        <v>63</v>
      </c>
      <c r="C120" t="s">
        <v>22</v>
      </c>
      <c r="D120">
        <v>106</v>
      </c>
      <c r="E120">
        <v>128</v>
      </c>
      <c r="F120">
        <v>22</v>
      </c>
      <c r="G120">
        <v>20.8</v>
      </c>
    </row>
    <row r="121" spans="1:7" x14ac:dyDescent="0.35">
      <c r="A121" t="s">
        <v>78</v>
      </c>
      <c r="B121" t="s">
        <v>63</v>
      </c>
      <c r="C121" t="s">
        <v>22</v>
      </c>
      <c r="D121">
        <v>99</v>
      </c>
      <c r="E121">
        <v>128</v>
      </c>
      <c r="F121">
        <v>29</v>
      </c>
      <c r="G121">
        <v>29.3</v>
      </c>
    </row>
    <row r="122" spans="1:7" x14ac:dyDescent="0.35">
      <c r="A122" t="s">
        <v>79</v>
      </c>
      <c r="B122" t="s">
        <v>63</v>
      </c>
      <c r="C122" t="s">
        <v>22</v>
      </c>
      <c r="D122">
        <v>105</v>
      </c>
      <c r="E122">
        <v>132</v>
      </c>
      <c r="F122">
        <v>27</v>
      </c>
      <c r="G122">
        <v>25.7</v>
      </c>
    </row>
    <row r="123" spans="1:7" x14ac:dyDescent="0.35">
      <c r="A123" t="s">
        <v>80</v>
      </c>
      <c r="B123" t="s">
        <v>63</v>
      </c>
      <c r="C123" t="s">
        <v>22</v>
      </c>
      <c r="D123">
        <v>118</v>
      </c>
      <c r="E123">
        <v>93</v>
      </c>
      <c r="F123">
        <v>-25</v>
      </c>
      <c r="G123">
        <v>-21.2</v>
      </c>
    </row>
    <row r="124" spans="1:7" x14ac:dyDescent="0.35">
      <c r="A124" t="s">
        <v>81</v>
      </c>
      <c r="B124" t="s">
        <v>63</v>
      </c>
      <c r="C124" t="s">
        <v>22</v>
      </c>
      <c r="D124">
        <v>110</v>
      </c>
      <c r="E124">
        <v>99</v>
      </c>
      <c r="F124">
        <v>-11</v>
      </c>
      <c r="G124">
        <v>-10</v>
      </c>
    </row>
    <row r="125" spans="1:7" x14ac:dyDescent="0.35">
      <c r="A125" t="s">
        <v>82</v>
      </c>
      <c r="B125" t="s">
        <v>63</v>
      </c>
      <c r="C125" t="s">
        <v>22</v>
      </c>
      <c r="D125">
        <v>114</v>
      </c>
      <c r="E125">
        <v>129</v>
      </c>
      <c r="F125">
        <v>15</v>
      </c>
      <c r="G125">
        <v>13.2</v>
      </c>
    </row>
    <row r="126" spans="1:7" x14ac:dyDescent="0.35">
      <c r="A126" t="s">
        <v>83</v>
      </c>
      <c r="B126" t="s">
        <v>63</v>
      </c>
      <c r="C126" t="s">
        <v>22</v>
      </c>
      <c r="D126">
        <v>129</v>
      </c>
      <c r="E126">
        <v>121</v>
      </c>
      <c r="F126">
        <v>-8</v>
      </c>
      <c r="G126">
        <v>-6.2</v>
      </c>
    </row>
    <row r="127" spans="1:7" x14ac:dyDescent="0.35">
      <c r="A127" t="s">
        <v>84</v>
      </c>
      <c r="B127" t="s">
        <v>63</v>
      </c>
      <c r="C127" t="s">
        <v>22</v>
      </c>
      <c r="D127">
        <v>117</v>
      </c>
      <c r="E127">
        <v>148</v>
      </c>
      <c r="F127">
        <v>31</v>
      </c>
      <c r="G127">
        <v>26.5</v>
      </c>
    </row>
    <row r="128" spans="1:7" x14ac:dyDescent="0.35">
      <c r="A128" t="s">
        <v>85</v>
      </c>
      <c r="B128" t="s">
        <v>63</v>
      </c>
      <c r="C128" t="s">
        <v>22</v>
      </c>
      <c r="D128">
        <v>114</v>
      </c>
      <c r="E128">
        <v>134</v>
      </c>
      <c r="F128">
        <v>20</v>
      </c>
      <c r="G128">
        <v>17.5</v>
      </c>
    </row>
    <row r="129" spans="1:7" x14ac:dyDescent="0.35">
      <c r="A129" t="s">
        <v>86</v>
      </c>
      <c r="B129" t="s">
        <v>63</v>
      </c>
      <c r="C129" t="s">
        <v>22</v>
      </c>
      <c r="D129">
        <v>137</v>
      </c>
      <c r="E129">
        <v>99</v>
      </c>
      <c r="F129">
        <v>-38</v>
      </c>
      <c r="G129">
        <v>-27.7</v>
      </c>
    </row>
    <row r="130" spans="1:7" x14ac:dyDescent="0.35">
      <c r="A130" t="s">
        <v>87</v>
      </c>
      <c r="B130" t="s">
        <v>63</v>
      </c>
      <c r="C130" t="s">
        <v>22</v>
      </c>
      <c r="D130">
        <v>127</v>
      </c>
      <c r="E130">
        <v>107</v>
      </c>
      <c r="F130">
        <v>-20</v>
      </c>
      <c r="G130">
        <v>-15.7</v>
      </c>
    </row>
    <row r="131" spans="1:7" x14ac:dyDescent="0.35">
      <c r="A131" t="s">
        <v>88</v>
      </c>
      <c r="B131" t="s">
        <v>63</v>
      </c>
      <c r="C131" t="s">
        <v>22</v>
      </c>
      <c r="D131">
        <v>146</v>
      </c>
      <c r="E131">
        <v>111</v>
      </c>
      <c r="F131">
        <v>-35</v>
      </c>
      <c r="G131">
        <v>-24</v>
      </c>
    </row>
    <row r="132" spans="1:7" x14ac:dyDescent="0.35">
      <c r="A132" t="s">
        <v>89</v>
      </c>
      <c r="B132" t="s">
        <v>63</v>
      </c>
      <c r="C132" t="s">
        <v>22</v>
      </c>
      <c r="D132">
        <v>135</v>
      </c>
      <c r="E132">
        <v>150</v>
      </c>
      <c r="F132">
        <v>15</v>
      </c>
      <c r="G132">
        <v>11.1</v>
      </c>
    </row>
    <row r="133" spans="1:7" x14ac:dyDescent="0.35">
      <c r="A133" t="s">
        <v>90</v>
      </c>
      <c r="B133" t="s">
        <v>63</v>
      </c>
      <c r="C133" t="s">
        <v>22</v>
      </c>
      <c r="D133">
        <v>140</v>
      </c>
      <c r="E133">
        <v>112</v>
      </c>
      <c r="F133">
        <v>-28</v>
      </c>
      <c r="G133">
        <v>-20</v>
      </c>
    </row>
    <row r="134" spans="1:7" x14ac:dyDescent="0.35">
      <c r="A134" t="s">
        <v>91</v>
      </c>
      <c r="B134" t="s">
        <v>63</v>
      </c>
      <c r="C134" t="s">
        <v>22</v>
      </c>
      <c r="D134">
        <v>154</v>
      </c>
      <c r="E134">
        <v>155</v>
      </c>
      <c r="F134">
        <v>1</v>
      </c>
      <c r="G134">
        <v>0.6</v>
      </c>
    </row>
    <row r="135" spans="1:7" x14ac:dyDescent="0.35">
      <c r="A135" t="s">
        <v>92</v>
      </c>
      <c r="B135" t="s">
        <v>63</v>
      </c>
      <c r="C135" t="s">
        <v>22</v>
      </c>
      <c r="D135">
        <v>134</v>
      </c>
      <c r="E135">
        <v>110</v>
      </c>
      <c r="F135">
        <v>-24</v>
      </c>
      <c r="G135">
        <v>-17.899999999999999</v>
      </c>
    </row>
    <row r="136" spans="1:7" x14ac:dyDescent="0.35">
      <c r="A136" t="s">
        <v>93</v>
      </c>
      <c r="B136" t="s">
        <v>63</v>
      </c>
      <c r="C136" t="s">
        <v>22</v>
      </c>
      <c r="D136">
        <v>143</v>
      </c>
      <c r="E136">
        <v>150</v>
      </c>
      <c r="F136">
        <v>7</v>
      </c>
      <c r="G136">
        <v>4.9000000000000004</v>
      </c>
    </row>
    <row r="137" spans="1:7" x14ac:dyDescent="0.35">
      <c r="A137" t="s">
        <v>94</v>
      </c>
      <c r="B137" t="s">
        <v>63</v>
      </c>
      <c r="C137" t="s">
        <v>22</v>
      </c>
      <c r="D137">
        <v>147</v>
      </c>
      <c r="E137">
        <v>115</v>
      </c>
      <c r="F137">
        <v>-32</v>
      </c>
      <c r="G137">
        <v>-21.8</v>
      </c>
    </row>
    <row r="138" spans="1:7" x14ac:dyDescent="0.35">
      <c r="A138" t="s">
        <v>95</v>
      </c>
      <c r="B138" t="s">
        <v>63</v>
      </c>
      <c r="C138" t="s">
        <v>22</v>
      </c>
      <c r="D138">
        <v>148</v>
      </c>
      <c r="E138">
        <v>185</v>
      </c>
      <c r="F138">
        <v>37</v>
      </c>
      <c r="G138">
        <v>25</v>
      </c>
    </row>
    <row r="139" spans="1:7" x14ac:dyDescent="0.35">
      <c r="A139" t="s">
        <v>96</v>
      </c>
      <c r="B139" t="s">
        <v>63</v>
      </c>
      <c r="C139" t="s">
        <v>22</v>
      </c>
      <c r="D139">
        <v>169</v>
      </c>
      <c r="E139">
        <v>119</v>
      </c>
      <c r="F139">
        <v>-50</v>
      </c>
      <c r="G139">
        <v>-29.6</v>
      </c>
    </row>
    <row r="140" spans="1:7" x14ac:dyDescent="0.35">
      <c r="A140" t="s">
        <v>97</v>
      </c>
      <c r="B140" t="s">
        <v>63</v>
      </c>
      <c r="C140" t="s">
        <v>22</v>
      </c>
      <c r="D140">
        <v>152</v>
      </c>
      <c r="E140">
        <v>171</v>
      </c>
      <c r="F140">
        <v>19</v>
      </c>
      <c r="G140">
        <v>12.5</v>
      </c>
    </row>
    <row r="141" spans="1:7" x14ac:dyDescent="0.35">
      <c r="A141" t="s">
        <v>98</v>
      </c>
      <c r="B141" t="s">
        <v>63</v>
      </c>
      <c r="C141" t="s">
        <v>22</v>
      </c>
      <c r="D141">
        <v>165</v>
      </c>
      <c r="E141">
        <v>148</v>
      </c>
      <c r="F141">
        <v>-17</v>
      </c>
      <c r="G141">
        <v>-10.3</v>
      </c>
    </row>
    <row r="142" spans="1:7" x14ac:dyDescent="0.35">
      <c r="A142" t="s">
        <v>99</v>
      </c>
      <c r="B142" t="s">
        <v>63</v>
      </c>
      <c r="C142" t="s">
        <v>22</v>
      </c>
      <c r="D142">
        <v>164</v>
      </c>
      <c r="E142">
        <v>193</v>
      </c>
      <c r="F142">
        <v>29</v>
      </c>
      <c r="G142">
        <v>17.7</v>
      </c>
    </row>
    <row r="143" spans="1:7" x14ac:dyDescent="0.35">
      <c r="A143" t="s">
        <v>100</v>
      </c>
      <c r="B143" t="s">
        <v>63</v>
      </c>
      <c r="C143" t="s">
        <v>22</v>
      </c>
      <c r="D143">
        <v>180</v>
      </c>
      <c r="E143">
        <v>185</v>
      </c>
      <c r="F143">
        <v>5</v>
      </c>
      <c r="G143">
        <v>2.8</v>
      </c>
    </row>
    <row r="144" spans="1:7" x14ac:dyDescent="0.35">
      <c r="A144" t="s">
        <v>101</v>
      </c>
      <c r="B144" t="s">
        <v>63</v>
      </c>
      <c r="C144" t="s">
        <v>22</v>
      </c>
      <c r="D144">
        <v>182</v>
      </c>
      <c r="E144">
        <v>145</v>
      </c>
      <c r="F144">
        <v>-37</v>
      </c>
      <c r="G144">
        <v>-20.3</v>
      </c>
    </row>
    <row r="145" spans="1:7" x14ac:dyDescent="0.35">
      <c r="A145" t="s">
        <v>102</v>
      </c>
      <c r="B145" t="s">
        <v>63</v>
      </c>
      <c r="C145" t="s">
        <v>22</v>
      </c>
      <c r="D145">
        <v>158</v>
      </c>
      <c r="E145">
        <v>195</v>
      </c>
      <c r="F145">
        <v>37</v>
      </c>
      <c r="G145">
        <v>23.4</v>
      </c>
    </row>
    <row r="146" spans="1:7" x14ac:dyDescent="0.35">
      <c r="A146" t="s">
        <v>103</v>
      </c>
      <c r="B146" t="s">
        <v>63</v>
      </c>
      <c r="C146" t="s">
        <v>22</v>
      </c>
      <c r="D146">
        <v>161</v>
      </c>
      <c r="E146">
        <v>165</v>
      </c>
      <c r="F146">
        <v>4</v>
      </c>
      <c r="G146">
        <v>2.5</v>
      </c>
    </row>
    <row r="147" spans="1:7" x14ac:dyDescent="0.35">
      <c r="A147" t="s">
        <v>104</v>
      </c>
      <c r="B147" t="s">
        <v>63</v>
      </c>
      <c r="C147" t="s">
        <v>22</v>
      </c>
      <c r="D147">
        <v>161</v>
      </c>
      <c r="E147">
        <v>209</v>
      </c>
      <c r="F147">
        <v>48</v>
      </c>
      <c r="G147">
        <v>29.8</v>
      </c>
    </row>
    <row r="148" spans="1:7" x14ac:dyDescent="0.35">
      <c r="A148" t="s">
        <v>105</v>
      </c>
      <c r="B148" t="s">
        <v>63</v>
      </c>
      <c r="C148" t="s">
        <v>22</v>
      </c>
      <c r="D148">
        <v>182</v>
      </c>
      <c r="E148">
        <v>165</v>
      </c>
      <c r="F148">
        <v>-17</v>
      </c>
      <c r="G148">
        <v>-9.3000000000000007</v>
      </c>
    </row>
    <row r="149" spans="1:7" x14ac:dyDescent="0.35">
      <c r="A149" t="s">
        <v>106</v>
      </c>
      <c r="B149" t="s">
        <v>63</v>
      </c>
      <c r="C149" t="s">
        <v>22</v>
      </c>
      <c r="D149">
        <v>178</v>
      </c>
      <c r="E149">
        <v>193</v>
      </c>
      <c r="F149">
        <v>15</v>
      </c>
      <c r="G149">
        <v>8.4</v>
      </c>
    </row>
    <row r="150" spans="1:7" x14ac:dyDescent="0.35">
      <c r="A150" t="s">
        <v>107</v>
      </c>
      <c r="B150" t="s">
        <v>63</v>
      </c>
      <c r="C150" t="s">
        <v>22</v>
      </c>
      <c r="D150">
        <v>164</v>
      </c>
      <c r="E150">
        <v>143</v>
      </c>
      <c r="F150">
        <v>-21</v>
      </c>
      <c r="G150">
        <v>-12.8</v>
      </c>
    </row>
    <row r="151" spans="1:7" x14ac:dyDescent="0.35">
      <c r="A151" t="s">
        <v>108</v>
      </c>
      <c r="B151" t="s">
        <v>63</v>
      </c>
      <c r="C151" t="s">
        <v>22</v>
      </c>
      <c r="D151">
        <v>179</v>
      </c>
      <c r="E151">
        <v>162</v>
      </c>
      <c r="F151">
        <v>-17</v>
      </c>
      <c r="G151">
        <v>-9.5</v>
      </c>
    </row>
    <row r="152" spans="1:7" x14ac:dyDescent="0.35">
      <c r="A152" t="s">
        <v>109</v>
      </c>
      <c r="B152" t="s">
        <v>63</v>
      </c>
      <c r="C152" t="s">
        <v>22</v>
      </c>
      <c r="D152">
        <v>157</v>
      </c>
      <c r="E152">
        <v>170</v>
      </c>
      <c r="F152">
        <v>13</v>
      </c>
      <c r="G152">
        <v>8.3000000000000007</v>
      </c>
    </row>
    <row r="153" spans="1:7" x14ac:dyDescent="0.35">
      <c r="A153" t="s">
        <v>110</v>
      </c>
      <c r="B153" t="s">
        <v>63</v>
      </c>
      <c r="C153" t="s">
        <v>22</v>
      </c>
      <c r="D153">
        <v>162</v>
      </c>
      <c r="E153">
        <v>209</v>
      </c>
      <c r="F153">
        <v>47</v>
      </c>
      <c r="G153">
        <v>29</v>
      </c>
    </row>
    <row r="154" spans="1:7" x14ac:dyDescent="0.35">
      <c r="A154" t="s">
        <v>111</v>
      </c>
      <c r="B154" t="s">
        <v>63</v>
      </c>
      <c r="C154" t="s">
        <v>22</v>
      </c>
      <c r="D154">
        <v>167</v>
      </c>
      <c r="E154">
        <v>200</v>
      </c>
      <c r="F154">
        <v>33</v>
      </c>
      <c r="G154">
        <v>19.8</v>
      </c>
    </row>
    <row r="155" spans="1:7" x14ac:dyDescent="0.35">
      <c r="A155" t="s">
        <v>112</v>
      </c>
      <c r="B155" t="s">
        <v>63</v>
      </c>
      <c r="C155" t="s">
        <v>22</v>
      </c>
      <c r="D155">
        <v>185</v>
      </c>
      <c r="E155">
        <v>149</v>
      </c>
      <c r="F155">
        <v>-36</v>
      </c>
      <c r="G155">
        <v>-19.5</v>
      </c>
    </row>
    <row r="156" spans="1:7" x14ac:dyDescent="0.35">
      <c r="A156" t="s">
        <v>113</v>
      </c>
      <c r="B156" t="s">
        <v>63</v>
      </c>
      <c r="C156" t="s">
        <v>22</v>
      </c>
      <c r="D156">
        <v>178</v>
      </c>
      <c r="E156">
        <v>164</v>
      </c>
      <c r="F156">
        <v>-14</v>
      </c>
      <c r="G156">
        <v>-7.9</v>
      </c>
    </row>
    <row r="157" spans="1:7" x14ac:dyDescent="0.35">
      <c r="A157" t="s">
        <v>114</v>
      </c>
      <c r="B157" t="s">
        <v>63</v>
      </c>
      <c r="C157" t="s">
        <v>22</v>
      </c>
      <c r="D157">
        <v>165</v>
      </c>
      <c r="E157">
        <v>135</v>
      </c>
      <c r="F157">
        <v>-30</v>
      </c>
      <c r="G157">
        <v>-18.2</v>
      </c>
    </row>
    <row r="158" spans="1:7" x14ac:dyDescent="0.35">
      <c r="A158" t="s">
        <v>62</v>
      </c>
      <c r="B158" t="s">
        <v>63</v>
      </c>
      <c r="C158" t="s">
        <v>27</v>
      </c>
      <c r="D158">
        <v>43</v>
      </c>
      <c r="E158">
        <v>44</v>
      </c>
      <c r="F158">
        <v>1</v>
      </c>
      <c r="G158">
        <v>2.2999999999999998</v>
      </c>
    </row>
    <row r="159" spans="1:7" x14ac:dyDescent="0.35">
      <c r="A159" t="s">
        <v>64</v>
      </c>
      <c r="B159" t="s">
        <v>63</v>
      </c>
      <c r="C159" t="s">
        <v>27</v>
      </c>
      <c r="D159">
        <v>47</v>
      </c>
      <c r="E159">
        <v>53</v>
      </c>
      <c r="F159">
        <v>6</v>
      </c>
      <c r="G159">
        <v>12.8</v>
      </c>
    </row>
    <row r="160" spans="1:7" x14ac:dyDescent="0.35">
      <c r="A160" t="s">
        <v>65</v>
      </c>
      <c r="B160" t="s">
        <v>63</v>
      </c>
      <c r="C160" t="s">
        <v>27</v>
      </c>
      <c r="D160">
        <v>46</v>
      </c>
      <c r="E160">
        <v>36</v>
      </c>
      <c r="F160">
        <v>-10</v>
      </c>
      <c r="G160">
        <v>-21.7</v>
      </c>
    </row>
    <row r="161" spans="1:7" x14ac:dyDescent="0.35">
      <c r="A161" t="s">
        <v>66</v>
      </c>
      <c r="B161" t="s">
        <v>63</v>
      </c>
      <c r="C161" t="s">
        <v>27</v>
      </c>
      <c r="D161">
        <v>53</v>
      </c>
      <c r="E161">
        <v>43</v>
      </c>
      <c r="F161">
        <v>-10</v>
      </c>
      <c r="G161">
        <v>-18.899999999999999</v>
      </c>
    </row>
    <row r="162" spans="1:7" x14ac:dyDescent="0.35">
      <c r="A162" t="s">
        <v>67</v>
      </c>
      <c r="B162" t="s">
        <v>63</v>
      </c>
      <c r="C162" t="s">
        <v>27</v>
      </c>
      <c r="D162">
        <v>51</v>
      </c>
      <c r="E162">
        <v>63</v>
      </c>
      <c r="F162">
        <v>12</v>
      </c>
      <c r="G162">
        <v>23.5</v>
      </c>
    </row>
    <row r="163" spans="1:7" x14ac:dyDescent="0.35">
      <c r="A163" t="s">
        <v>68</v>
      </c>
      <c r="B163" t="s">
        <v>63</v>
      </c>
      <c r="C163" t="s">
        <v>27</v>
      </c>
      <c r="D163">
        <v>47</v>
      </c>
      <c r="E163">
        <v>55</v>
      </c>
      <c r="F163">
        <v>8</v>
      </c>
      <c r="G163">
        <v>17</v>
      </c>
    </row>
    <row r="164" spans="1:7" x14ac:dyDescent="0.35">
      <c r="A164" t="s">
        <v>69</v>
      </c>
      <c r="B164" t="s">
        <v>63</v>
      </c>
      <c r="C164" t="s">
        <v>27</v>
      </c>
      <c r="D164">
        <v>52</v>
      </c>
      <c r="E164">
        <v>62</v>
      </c>
      <c r="F164">
        <v>10</v>
      </c>
      <c r="G164">
        <v>19.2</v>
      </c>
    </row>
    <row r="165" spans="1:7" x14ac:dyDescent="0.35">
      <c r="A165" t="s">
        <v>70</v>
      </c>
      <c r="B165" t="s">
        <v>63</v>
      </c>
      <c r="C165" t="s">
        <v>27</v>
      </c>
      <c r="D165">
        <v>55</v>
      </c>
      <c r="E165">
        <v>69</v>
      </c>
      <c r="F165">
        <v>14</v>
      </c>
      <c r="G165">
        <v>25.5</v>
      </c>
    </row>
    <row r="166" spans="1:7" x14ac:dyDescent="0.35">
      <c r="A166" t="s">
        <v>71</v>
      </c>
      <c r="B166" t="s">
        <v>63</v>
      </c>
      <c r="C166" t="s">
        <v>27</v>
      </c>
      <c r="D166">
        <v>53</v>
      </c>
      <c r="E166">
        <v>69</v>
      </c>
      <c r="F166">
        <v>16</v>
      </c>
      <c r="G166">
        <v>30.2</v>
      </c>
    </row>
    <row r="167" spans="1:7" x14ac:dyDescent="0.35">
      <c r="A167" t="s">
        <v>72</v>
      </c>
      <c r="B167" t="s">
        <v>63</v>
      </c>
      <c r="C167" t="s">
        <v>27</v>
      </c>
      <c r="D167">
        <v>55</v>
      </c>
      <c r="E167">
        <v>45</v>
      </c>
      <c r="F167">
        <v>-10</v>
      </c>
      <c r="G167">
        <v>-18.2</v>
      </c>
    </row>
    <row r="168" spans="1:7" x14ac:dyDescent="0.35">
      <c r="A168" t="s">
        <v>73</v>
      </c>
      <c r="B168" t="s">
        <v>63</v>
      </c>
      <c r="C168" t="s">
        <v>27</v>
      </c>
      <c r="D168">
        <v>60</v>
      </c>
      <c r="E168">
        <v>61</v>
      </c>
      <c r="F168">
        <v>1</v>
      </c>
      <c r="G168">
        <v>1.7</v>
      </c>
    </row>
    <row r="169" spans="1:7" x14ac:dyDescent="0.35">
      <c r="A169" t="s">
        <v>74</v>
      </c>
      <c r="B169" t="s">
        <v>63</v>
      </c>
      <c r="C169" t="s">
        <v>27</v>
      </c>
      <c r="D169">
        <v>66</v>
      </c>
      <c r="E169">
        <v>68</v>
      </c>
      <c r="F169">
        <v>2</v>
      </c>
      <c r="G169">
        <v>3</v>
      </c>
    </row>
    <row r="170" spans="1:7" x14ac:dyDescent="0.35">
      <c r="A170" t="s">
        <v>75</v>
      </c>
      <c r="B170" t="s">
        <v>63</v>
      </c>
      <c r="C170" t="s">
        <v>27</v>
      </c>
      <c r="D170">
        <v>70</v>
      </c>
      <c r="E170">
        <v>72</v>
      </c>
      <c r="F170">
        <v>2</v>
      </c>
      <c r="G170">
        <v>2.9</v>
      </c>
    </row>
    <row r="171" spans="1:7" x14ac:dyDescent="0.35">
      <c r="A171" t="s">
        <v>76</v>
      </c>
      <c r="B171" t="s">
        <v>63</v>
      </c>
      <c r="C171" t="s">
        <v>27</v>
      </c>
      <c r="D171">
        <v>62</v>
      </c>
      <c r="E171">
        <v>63</v>
      </c>
      <c r="F171">
        <v>1</v>
      </c>
      <c r="G171">
        <v>1.6</v>
      </c>
    </row>
    <row r="172" spans="1:7" x14ac:dyDescent="0.35">
      <c r="A172" t="s">
        <v>77</v>
      </c>
      <c r="B172" t="s">
        <v>63</v>
      </c>
      <c r="C172" t="s">
        <v>27</v>
      </c>
      <c r="D172">
        <v>73</v>
      </c>
      <c r="E172">
        <v>81</v>
      </c>
      <c r="F172">
        <v>8</v>
      </c>
      <c r="G172">
        <v>11</v>
      </c>
    </row>
    <row r="173" spans="1:7" x14ac:dyDescent="0.35">
      <c r="A173" t="s">
        <v>78</v>
      </c>
      <c r="B173" t="s">
        <v>63</v>
      </c>
      <c r="C173" t="s">
        <v>27</v>
      </c>
      <c r="D173">
        <v>71</v>
      </c>
      <c r="E173">
        <v>75</v>
      </c>
      <c r="F173">
        <v>4</v>
      </c>
      <c r="G173">
        <v>5.6</v>
      </c>
    </row>
    <row r="174" spans="1:7" x14ac:dyDescent="0.35">
      <c r="A174" t="s">
        <v>79</v>
      </c>
      <c r="B174" t="s">
        <v>63</v>
      </c>
      <c r="C174" t="s">
        <v>27</v>
      </c>
      <c r="D174">
        <v>65</v>
      </c>
      <c r="E174">
        <v>85</v>
      </c>
      <c r="F174">
        <v>20</v>
      </c>
      <c r="G174">
        <v>30.8</v>
      </c>
    </row>
    <row r="175" spans="1:7" x14ac:dyDescent="0.35">
      <c r="A175" t="s">
        <v>80</v>
      </c>
      <c r="B175" t="s">
        <v>63</v>
      </c>
      <c r="C175" t="s">
        <v>27</v>
      </c>
      <c r="D175">
        <v>72</v>
      </c>
      <c r="E175">
        <v>78</v>
      </c>
      <c r="F175">
        <v>6</v>
      </c>
      <c r="G175">
        <v>8.3000000000000007</v>
      </c>
    </row>
    <row r="176" spans="1:7" x14ac:dyDescent="0.35">
      <c r="A176" t="s">
        <v>81</v>
      </c>
      <c r="B176" t="s">
        <v>63</v>
      </c>
      <c r="C176" t="s">
        <v>27</v>
      </c>
      <c r="D176">
        <v>71</v>
      </c>
      <c r="E176">
        <v>81</v>
      </c>
      <c r="F176">
        <v>10</v>
      </c>
      <c r="G176">
        <v>14.1</v>
      </c>
    </row>
    <row r="177" spans="1:7" x14ac:dyDescent="0.35">
      <c r="A177" t="s">
        <v>82</v>
      </c>
      <c r="B177" t="s">
        <v>63</v>
      </c>
      <c r="C177" t="s">
        <v>27</v>
      </c>
      <c r="D177">
        <v>76</v>
      </c>
      <c r="E177">
        <v>64</v>
      </c>
      <c r="F177">
        <v>-12</v>
      </c>
      <c r="G177">
        <v>-15.8</v>
      </c>
    </row>
    <row r="178" spans="1:7" x14ac:dyDescent="0.35">
      <c r="A178" t="s">
        <v>83</v>
      </c>
      <c r="B178" t="s">
        <v>63</v>
      </c>
      <c r="C178" t="s">
        <v>27</v>
      </c>
      <c r="D178">
        <v>80</v>
      </c>
      <c r="E178">
        <v>73</v>
      </c>
      <c r="F178">
        <v>-7</v>
      </c>
      <c r="G178">
        <v>-8.8000000000000007</v>
      </c>
    </row>
    <row r="179" spans="1:7" x14ac:dyDescent="0.35">
      <c r="A179" t="s">
        <v>84</v>
      </c>
      <c r="B179" t="s">
        <v>63</v>
      </c>
      <c r="C179" t="s">
        <v>27</v>
      </c>
      <c r="D179">
        <v>83</v>
      </c>
      <c r="E179">
        <v>66</v>
      </c>
      <c r="F179">
        <v>-17</v>
      </c>
      <c r="G179">
        <v>-20.5</v>
      </c>
    </row>
    <row r="180" spans="1:7" x14ac:dyDescent="0.35">
      <c r="A180" t="s">
        <v>85</v>
      </c>
      <c r="B180" t="s">
        <v>63</v>
      </c>
      <c r="C180" t="s">
        <v>27</v>
      </c>
      <c r="D180">
        <v>82</v>
      </c>
      <c r="E180">
        <v>77</v>
      </c>
      <c r="F180">
        <v>-5</v>
      </c>
      <c r="G180">
        <v>-6.1</v>
      </c>
    </row>
    <row r="181" spans="1:7" x14ac:dyDescent="0.35">
      <c r="A181" t="s">
        <v>86</v>
      </c>
      <c r="B181" t="s">
        <v>63</v>
      </c>
      <c r="C181" t="s">
        <v>27</v>
      </c>
      <c r="D181">
        <v>88</v>
      </c>
      <c r="E181">
        <v>74</v>
      </c>
      <c r="F181">
        <v>-14</v>
      </c>
      <c r="G181">
        <v>-15.9</v>
      </c>
    </row>
    <row r="182" spans="1:7" x14ac:dyDescent="0.35">
      <c r="A182" t="s">
        <v>87</v>
      </c>
      <c r="B182" t="s">
        <v>63</v>
      </c>
      <c r="C182" t="s">
        <v>27</v>
      </c>
      <c r="D182">
        <v>79</v>
      </c>
      <c r="E182">
        <v>96</v>
      </c>
      <c r="F182">
        <v>17</v>
      </c>
      <c r="G182">
        <v>21.5</v>
      </c>
    </row>
    <row r="183" spans="1:7" x14ac:dyDescent="0.35">
      <c r="A183" t="s">
        <v>88</v>
      </c>
      <c r="B183" t="s">
        <v>63</v>
      </c>
      <c r="C183" t="s">
        <v>27</v>
      </c>
      <c r="D183">
        <v>87</v>
      </c>
      <c r="E183">
        <v>78</v>
      </c>
      <c r="F183">
        <v>-9</v>
      </c>
      <c r="G183">
        <v>-10.3</v>
      </c>
    </row>
    <row r="184" spans="1:7" x14ac:dyDescent="0.35">
      <c r="A184" t="s">
        <v>89</v>
      </c>
      <c r="B184" t="s">
        <v>63</v>
      </c>
      <c r="C184" t="s">
        <v>27</v>
      </c>
      <c r="D184">
        <v>86</v>
      </c>
      <c r="E184">
        <v>95</v>
      </c>
      <c r="F184">
        <v>9</v>
      </c>
      <c r="G184">
        <v>10.5</v>
      </c>
    </row>
    <row r="185" spans="1:7" x14ac:dyDescent="0.35">
      <c r="A185" t="s">
        <v>90</v>
      </c>
      <c r="B185" t="s">
        <v>63</v>
      </c>
      <c r="C185" t="s">
        <v>27</v>
      </c>
      <c r="D185">
        <v>89</v>
      </c>
      <c r="E185">
        <v>102</v>
      </c>
      <c r="F185">
        <v>13</v>
      </c>
      <c r="G185">
        <v>14.6</v>
      </c>
    </row>
    <row r="186" spans="1:7" x14ac:dyDescent="0.35">
      <c r="A186" t="s">
        <v>91</v>
      </c>
      <c r="B186" t="s">
        <v>63</v>
      </c>
      <c r="C186" t="s">
        <v>27</v>
      </c>
      <c r="D186">
        <v>99</v>
      </c>
      <c r="E186">
        <v>101</v>
      </c>
      <c r="F186">
        <v>2</v>
      </c>
      <c r="G186">
        <v>2</v>
      </c>
    </row>
    <row r="187" spans="1:7" x14ac:dyDescent="0.35">
      <c r="A187" t="s">
        <v>92</v>
      </c>
      <c r="B187" t="s">
        <v>63</v>
      </c>
      <c r="C187" t="s">
        <v>27</v>
      </c>
      <c r="D187">
        <v>95</v>
      </c>
      <c r="E187">
        <v>82</v>
      </c>
      <c r="F187">
        <v>-13</v>
      </c>
      <c r="G187">
        <v>-13.7</v>
      </c>
    </row>
    <row r="188" spans="1:7" x14ac:dyDescent="0.35">
      <c r="A188" t="s">
        <v>93</v>
      </c>
      <c r="B188" t="s">
        <v>63</v>
      </c>
      <c r="C188" t="s">
        <v>27</v>
      </c>
      <c r="D188">
        <v>97</v>
      </c>
      <c r="E188">
        <v>99</v>
      </c>
      <c r="F188">
        <v>2</v>
      </c>
      <c r="G188">
        <v>2.1</v>
      </c>
    </row>
    <row r="189" spans="1:7" x14ac:dyDescent="0.35">
      <c r="A189" t="s">
        <v>94</v>
      </c>
      <c r="B189" t="s">
        <v>63</v>
      </c>
      <c r="C189" t="s">
        <v>27</v>
      </c>
      <c r="D189">
        <v>88</v>
      </c>
      <c r="E189">
        <v>117</v>
      </c>
      <c r="F189">
        <v>29</v>
      </c>
      <c r="G189">
        <v>33</v>
      </c>
    </row>
    <row r="190" spans="1:7" x14ac:dyDescent="0.35">
      <c r="A190" t="s">
        <v>95</v>
      </c>
      <c r="B190" t="s">
        <v>63</v>
      </c>
      <c r="C190" t="s">
        <v>27</v>
      </c>
      <c r="D190">
        <v>92</v>
      </c>
      <c r="E190">
        <v>88</v>
      </c>
      <c r="F190">
        <v>-4</v>
      </c>
      <c r="G190">
        <v>-4.3</v>
      </c>
    </row>
    <row r="191" spans="1:7" x14ac:dyDescent="0.35">
      <c r="A191" t="s">
        <v>96</v>
      </c>
      <c r="B191" t="s">
        <v>63</v>
      </c>
      <c r="C191" t="s">
        <v>27</v>
      </c>
      <c r="D191">
        <v>105</v>
      </c>
      <c r="E191">
        <v>81</v>
      </c>
      <c r="F191">
        <v>-24</v>
      </c>
      <c r="G191">
        <v>-22.9</v>
      </c>
    </row>
    <row r="192" spans="1:7" x14ac:dyDescent="0.35">
      <c r="A192" t="s">
        <v>97</v>
      </c>
      <c r="B192" t="s">
        <v>63</v>
      </c>
      <c r="C192" t="s">
        <v>27</v>
      </c>
      <c r="D192">
        <v>91</v>
      </c>
      <c r="E192">
        <v>125</v>
      </c>
      <c r="F192">
        <v>34</v>
      </c>
      <c r="G192">
        <v>37.4</v>
      </c>
    </row>
    <row r="193" spans="1:7" x14ac:dyDescent="0.35">
      <c r="A193" t="s">
        <v>98</v>
      </c>
      <c r="B193" t="s">
        <v>63</v>
      </c>
      <c r="C193" t="s">
        <v>27</v>
      </c>
      <c r="D193">
        <v>104</v>
      </c>
      <c r="E193">
        <v>116</v>
      </c>
      <c r="F193">
        <v>12</v>
      </c>
      <c r="G193">
        <v>11.5</v>
      </c>
    </row>
    <row r="194" spans="1:7" x14ac:dyDescent="0.35">
      <c r="A194" t="s">
        <v>99</v>
      </c>
      <c r="B194" t="s">
        <v>63</v>
      </c>
      <c r="C194" t="s">
        <v>27</v>
      </c>
      <c r="D194">
        <v>103</v>
      </c>
      <c r="E194">
        <v>124</v>
      </c>
      <c r="F194">
        <v>21</v>
      </c>
      <c r="G194">
        <v>20.399999999999999</v>
      </c>
    </row>
    <row r="195" spans="1:7" x14ac:dyDescent="0.35">
      <c r="A195" t="s">
        <v>100</v>
      </c>
      <c r="B195" t="s">
        <v>63</v>
      </c>
      <c r="C195" t="s">
        <v>27</v>
      </c>
      <c r="D195">
        <v>107</v>
      </c>
      <c r="E195">
        <v>117</v>
      </c>
      <c r="F195">
        <v>10</v>
      </c>
      <c r="G195">
        <v>9.3000000000000007</v>
      </c>
    </row>
    <row r="196" spans="1:7" x14ac:dyDescent="0.35">
      <c r="A196" t="s">
        <v>101</v>
      </c>
      <c r="B196" t="s">
        <v>63</v>
      </c>
      <c r="C196" t="s">
        <v>27</v>
      </c>
      <c r="D196">
        <v>105</v>
      </c>
      <c r="E196">
        <v>102</v>
      </c>
      <c r="F196">
        <v>-3</v>
      </c>
      <c r="G196">
        <v>-2.9</v>
      </c>
    </row>
    <row r="197" spans="1:7" x14ac:dyDescent="0.35">
      <c r="A197" t="s">
        <v>102</v>
      </c>
      <c r="B197" t="s">
        <v>63</v>
      </c>
      <c r="C197" t="s">
        <v>27</v>
      </c>
      <c r="D197">
        <v>101</v>
      </c>
      <c r="E197">
        <v>119</v>
      </c>
      <c r="F197">
        <v>18</v>
      </c>
      <c r="G197">
        <v>17.8</v>
      </c>
    </row>
    <row r="198" spans="1:7" x14ac:dyDescent="0.35">
      <c r="A198" t="s">
        <v>103</v>
      </c>
      <c r="B198" t="s">
        <v>63</v>
      </c>
      <c r="C198" t="s">
        <v>27</v>
      </c>
      <c r="D198">
        <v>119</v>
      </c>
      <c r="E198">
        <v>131</v>
      </c>
      <c r="F198">
        <v>12</v>
      </c>
      <c r="G198">
        <v>10.1</v>
      </c>
    </row>
    <row r="199" spans="1:7" x14ac:dyDescent="0.35">
      <c r="A199" t="s">
        <v>104</v>
      </c>
      <c r="B199" t="s">
        <v>63</v>
      </c>
      <c r="C199" t="s">
        <v>27</v>
      </c>
      <c r="D199">
        <v>119</v>
      </c>
      <c r="E199">
        <v>126</v>
      </c>
      <c r="F199">
        <v>7</v>
      </c>
      <c r="G199">
        <v>5.9</v>
      </c>
    </row>
    <row r="200" spans="1:7" x14ac:dyDescent="0.35">
      <c r="A200" t="s">
        <v>105</v>
      </c>
      <c r="B200" t="s">
        <v>63</v>
      </c>
      <c r="C200" t="s">
        <v>27</v>
      </c>
      <c r="D200">
        <v>104</v>
      </c>
      <c r="E200">
        <v>127</v>
      </c>
      <c r="F200">
        <v>23</v>
      </c>
      <c r="G200">
        <v>22.1</v>
      </c>
    </row>
    <row r="201" spans="1:7" x14ac:dyDescent="0.35">
      <c r="A201" t="s">
        <v>106</v>
      </c>
      <c r="B201" t="s">
        <v>63</v>
      </c>
      <c r="C201" t="s">
        <v>27</v>
      </c>
      <c r="D201">
        <v>115</v>
      </c>
      <c r="E201">
        <v>109</v>
      </c>
      <c r="F201">
        <v>-6</v>
      </c>
      <c r="G201">
        <v>-5.2</v>
      </c>
    </row>
    <row r="202" spans="1:7" x14ac:dyDescent="0.35">
      <c r="A202" t="s">
        <v>107</v>
      </c>
      <c r="B202" t="s">
        <v>63</v>
      </c>
      <c r="C202" t="s">
        <v>27</v>
      </c>
      <c r="D202">
        <v>112</v>
      </c>
      <c r="E202">
        <v>134</v>
      </c>
      <c r="F202">
        <v>22</v>
      </c>
      <c r="G202">
        <v>19.600000000000001</v>
      </c>
    </row>
    <row r="203" spans="1:7" x14ac:dyDescent="0.35">
      <c r="A203" t="s">
        <v>108</v>
      </c>
      <c r="B203" t="s">
        <v>63</v>
      </c>
      <c r="C203" t="s">
        <v>27</v>
      </c>
      <c r="D203">
        <v>102</v>
      </c>
      <c r="E203">
        <v>90</v>
      </c>
      <c r="F203">
        <v>-12</v>
      </c>
      <c r="G203">
        <v>-11.8</v>
      </c>
    </row>
    <row r="204" spans="1:7" x14ac:dyDescent="0.35">
      <c r="A204" t="s">
        <v>109</v>
      </c>
      <c r="B204" t="s">
        <v>63</v>
      </c>
      <c r="C204" t="s">
        <v>27</v>
      </c>
      <c r="D204">
        <v>110</v>
      </c>
      <c r="E204">
        <v>112</v>
      </c>
      <c r="F204">
        <v>2</v>
      </c>
      <c r="G204">
        <v>1.8</v>
      </c>
    </row>
    <row r="205" spans="1:7" x14ac:dyDescent="0.35">
      <c r="A205" t="s">
        <v>110</v>
      </c>
      <c r="B205" t="s">
        <v>63</v>
      </c>
      <c r="C205" t="s">
        <v>27</v>
      </c>
      <c r="D205">
        <v>112</v>
      </c>
      <c r="E205">
        <v>100</v>
      </c>
      <c r="F205">
        <v>-12</v>
      </c>
      <c r="G205">
        <v>-10.7</v>
      </c>
    </row>
    <row r="206" spans="1:7" x14ac:dyDescent="0.35">
      <c r="A206" t="s">
        <v>111</v>
      </c>
      <c r="B206" t="s">
        <v>63</v>
      </c>
      <c r="C206" t="s">
        <v>27</v>
      </c>
      <c r="D206">
        <v>116</v>
      </c>
      <c r="E206">
        <v>107</v>
      </c>
      <c r="F206">
        <v>-9</v>
      </c>
      <c r="G206">
        <v>-7.8</v>
      </c>
    </row>
    <row r="207" spans="1:7" x14ac:dyDescent="0.35">
      <c r="A207" t="s">
        <v>112</v>
      </c>
      <c r="B207" t="s">
        <v>63</v>
      </c>
      <c r="C207" t="s">
        <v>27</v>
      </c>
      <c r="D207">
        <v>117</v>
      </c>
      <c r="E207">
        <v>132</v>
      </c>
      <c r="F207">
        <v>15</v>
      </c>
      <c r="G207">
        <v>12.8</v>
      </c>
    </row>
    <row r="208" spans="1:7" x14ac:dyDescent="0.35">
      <c r="A208" t="s">
        <v>113</v>
      </c>
      <c r="B208" t="s">
        <v>63</v>
      </c>
      <c r="C208" t="s">
        <v>27</v>
      </c>
      <c r="D208">
        <v>109</v>
      </c>
      <c r="E208">
        <v>133</v>
      </c>
      <c r="F208">
        <v>24</v>
      </c>
      <c r="G208">
        <v>22</v>
      </c>
    </row>
    <row r="209" spans="1:7" x14ac:dyDescent="0.35">
      <c r="A209" t="s">
        <v>114</v>
      </c>
      <c r="B209" t="s">
        <v>63</v>
      </c>
      <c r="C209" t="s">
        <v>27</v>
      </c>
      <c r="D209">
        <v>109</v>
      </c>
      <c r="E209">
        <v>92</v>
      </c>
      <c r="F209">
        <v>-17</v>
      </c>
      <c r="G209">
        <v>-15.6</v>
      </c>
    </row>
    <row r="210" spans="1:7" x14ac:dyDescent="0.35">
      <c r="A210" t="s">
        <v>62</v>
      </c>
      <c r="B210" t="s">
        <v>63</v>
      </c>
      <c r="C210" t="s">
        <v>32</v>
      </c>
      <c r="D210">
        <v>63</v>
      </c>
      <c r="E210">
        <v>72</v>
      </c>
      <c r="F210">
        <v>9</v>
      </c>
      <c r="G210">
        <v>14.3</v>
      </c>
    </row>
    <row r="211" spans="1:7" x14ac:dyDescent="0.35">
      <c r="A211" t="s">
        <v>64</v>
      </c>
      <c r="B211" t="s">
        <v>63</v>
      </c>
      <c r="C211" t="s">
        <v>32</v>
      </c>
      <c r="D211">
        <v>71</v>
      </c>
      <c r="E211">
        <v>59</v>
      </c>
      <c r="F211">
        <v>-12</v>
      </c>
      <c r="G211">
        <v>-16.899999999999999</v>
      </c>
    </row>
    <row r="212" spans="1:7" x14ac:dyDescent="0.35">
      <c r="A212" t="s">
        <v>65</v>
      </c>
      <c r="B212" t="s">
        <v>63</v>
      </c>
      <c r="C212" t="s">
        <v>32</v>
      </c>
      <c r="D212">
        <v>73</v>
      </c>
      <c r="E212">
        <v>68</v>
      </c>
      <c r="F212">
        <v>-5</v>
      </c>
      <c r="G212">
        <v>-6.8</v>
      </c>
    </row>
    <row r="213" spans="1:7" x14ac:dyDescent="0.35">
      <c r="A213" t="s">
        <v>66</v>
      </c>
      <c r="B213" t="s">
        <v>63</v>
      </c>
      <c r="C213" t="s">
        <v>32</v>
      </c>
      <c r="D213">
        <v>67</v>
      </c>
      <c r="E213">
        <v>69</v>
      </c>
      <c r="F213">
        <v>2</v>
      </c>
      <c r="G213">
        <v>3</v>
      </c>
    </row>
    <row r="214" spans="1:7" x14ac:dyDescent="0.35">
      <c r="A214" t="s">
        <v>67</v>
      </c>
      <c r="B214" t="s">
        <v>63</v>
      </c>
      <c r="C214" t="s">
        <v>32</v>
      </c>
      <c r="D214">
        <v>77</v>
      </c>
      <c r="E214">
        <v>64</v>
      </c>
      <c r="F214">
        <v>-13</v>
      </c>
      <c r="G214">
        <v>-16.899999999999999</v>
      </c>
    </row>
    <row r="215" spans="1:7" x14ac:dyDescent="0.35">
      <c r="A215" t="s">
        <v>68</v>
      </c>
      <c r="B215" t="s">
        <v>63</v>
      </c>
      <c r="C215" t="s">
        <v>32</v>
      </c>
      <c r="D215">
        <v>73</v>
      </c>
      <c r="E215">
        <v>91</v>
      </c>
      <c r="F215">
        <v>18</v>
      </c>
      <c r="G215">
        <v>24.7</v>
      </c>
    </row>
    <row r="216" spans="1:7" x14ac:dyDescent="0.35">
      <c r="A216" t="s">
        <v>69</v>
      </c>
      <c r="B216" t="s">
        <v>63</v>
      </c>
      <c r="C216" t="s">
        <v>32</v>
      </c>
      <c r="D216">
        <v>72</v>
      </c>
      <c r="E216">
        <v>65</v>
      </c>
      <c r="F216">
        <v>-7</v>
      </c>
      <c r="G216">
        <v>-9.6999999999999993</v>
      </c>
    </row>
    <row r="217" spans="1:7" x14ac:dyDescent="0.35">
      <c r="A217" t="s">
        <v>70</v>
      </c>
      <c r="B217" t="s">
        <v>63</v>
      </c>
      <c r="C217" t="s">
        <v>32</v>
      </c>
      <c r="D217">
        <v>79</v>
      </c>
      <c r="E217">
        <v>67</v>
      </c>
      <c r="F217">
        <v>-12</v>
      </c>
      <c r="G217">
        <v>-15.2</v>
      </c>
    </row>
    <row r="218" spans="1:7" x14ac:dyDescent="0.35">
      <c r="A218" t="s">
        <v>71</v>
      </c>
      <c r="B218" t="s">
        <v>63</v>
      </c>
      <c r="C218" t="s">
        <v>32</v>
      </c>
      <c r="D218">
        <v>78</v>
      </c>
      <c r="E218">
        <v>80</v>
      </c>
      <c r="F218">
        <v>2</v>
      </c>
      <c r="G218">
        <v>2.6</v>
      </c>
    </row>
    <row r="219" spans="1:7" x14ac:dyDescent="0.35">
      <c r="A219" t="s">
        <v>72</v>
      </c>
      <c r="B219" t="s">
        <v>63</v>
      </c>
      <c r="C219" t="s">
        <v>32</v>
      </c>
      <c r="D219">
        <v>83</v>
      </c>
      <c r="E219">
        <v>84</v>
      </c>
      <c r="F219">
        <v>1</v>
      </c>
      <c r="G219">
        <v>1.2</v>
      </c>
    </row>
    <row r="220" spans="1:7" x14ac:dyDescent="0.35">
      <c r="A220" t="s">
        <v>73</v>
      </c>
      <c r="B220" t="s">
        <v>63</v>
      </c>
      <c r="C220" t="s">
        <v>32</v>
      </c>
      <c r="D220">
        <v>80</v>
      </c>
      <c r="E220">
        <v>103</v>
      </c>
      <c r="F220">
        <v>23</v>
      </c>
      <c r="G220">
        <v>28.7</v>
      </c>
    </row>
    <row r="221" spans="1:7" x14ac:dyDescent="0.35">
      <c r="A221" t="s">
        <v>74</v>
      </c>
      <c r="B221" t="s">
        <v>63</v>
      </c>
      <c r="C221" t="s">
        <v>32</v>
      </c>
      <c r="D221">
        <v>88</v>
      </c>
      <c r="E221">
        <v>103</v>
      </c>
      <c r="F221">
        <v>15</v>
      </c>
      <c r="G221">
        <v>17</v>
      </c>
    </row>
    <row r="222" spans="1:7" x14ac:dyDescent="0.35">
      <c r="A222" t="s">
        <v>75</v>
      </c>
      <c r="B222" t="s">
        <v>63</v>
      </c>
      <c r="C222" t="s">
        <v>32</v>
      </c>
      <c r="D222">
        <v>101</v>
      </c>
      <c r="E222">
        <v>70</v>
      </c>
      <c r="F222">
        <v>-31</v>
      </c>
      <c r="G222">
        <v>-30.7</v>
      </c>
    </row>
    <row r="223" spans="1:7" x14ac:dyDescent="0.35">
      <c r="A223" t="s">
        <v>76</v>
      </c>
      <c r="B223" t="s">
        <v>63</v>
      </c>
      <c r="C223" t="s">
        <v>32</v>
      </c>
      <c r="D223">
        <v>103</v>
      </c>
      <c r="E223">
        <v>99</v>
      </c>
      <c r="F223">
        <v>-4</v>
      </c>
      <c r="G223">
        <v>-3.9</v>
      </c>
    </row>
    <row r="224" spans="1:7" x14ac:dyDescent="0.35">
      <c r="A224" t="s">
        <v>77</v>
      </c>
      <c r="B224" t="s">
        <v>63</v>
      </c>
      <c r="C224" t="s">
        <v>32</v>
      </c>
      <c r="D224">
        <v>97</v>
      </c>
      <c r="E224">
        <v>119</v>
      </c>
      <c r="F224">
        <v>22</v>
      </c>
      <c r="G224">
        <v>22.7</v>
      </c>
    </row>
    <row r="225" spans="1:7" x14ac:dyDescent="0.35">
      <c r="A225" t="s">
        <v>78</v>
      </c>
      <c r="B225" t="s">
        <v>63</v>
      </c>
      <c r="C225" t="s">
        <v>32</v>
      </c>
      <c r="D225">
        <v>96</v>
      </c>
      <c r="E225">
        <v>95</v>
      </c>
      <c r="F225">
        <v>-1</v>
      </c>
      <c r="G225">
        <v>-1</v>
      </c>
    </row>
    <row r="226" spans="1:7" x14ac:dyDescent="0.35">
      <c r="A226" t="s">
        <v>79</v>
      </c>
      <c r="B226" t="s">
        <v>63</v>
      </c>
      <c r="C226" t="s">
        <v>32</v>
      </c>
      <c r="D226">
        <v>111</v>
      </c>
      <c r="E226">
        <v>120</v>
      </c>
      <c r="F226">
        <v>9</v>
      </c>
      <c r="G226">
        <v>8.1</v>
      </c>
    </row>
    <row r="227" spans="1:7" x14ac:dyDescent="0.35">
      <c r="A227" t="s">
        <v>80</v>
      </c>
      <c r="B227" t="s">
        <v>63</v>
      </c>
      <c r="C227" t="s">
        <v>32</v>
      </c>
      <c r="D227">
        <v>106</v>
      </c>
      <c r="E227">
        <v>117</v>
      </c>
      <c r="F227">
        <v>11</v>
      </c>
      <c r="G227">
        <v>10.4</v>
      </c>
    </row>
    <row r="228" spans="1:7" x14ac:dyDescent="0.35">
      <c r="A228" t="s">
        <v>81</v>
      </c>
      <c r="B228" t="s">
        <v>63</v>
      </c>
      <c r="C228" t="s">
        <v>32</v>
      </c>
      <c r="D228">
        <v>114</v>
      </c>
      <c r="E228">
        <v>129</v>
      </c>
      <c r="F228">
        <v>15</v>
      </c>
      <c r="G228">
        <v>13.2</v>
      </c>
    </row>
    <row r="229" spans="1:7" x14ac:dyDescent="0.35">
      <c r="A229" t="s">
        <v>82</v>
      </c>
      <c r="B229" t="s">
        <v>63</v>
      </c>
      <c r="C229" t="s">
        <v>32</v>
      </c>
      <c r="D229">
        <v>110</v>
      </c>
      <c r="E229">
        <v>97</v>
      </c>
      <c r="F229">
        <v>-13</v>
      </c>
      <c r="G229">
        <v>-11.8</v>
      </c>
    </row>
    <row r="230" spans="1:7" x14ac:dyDescent="0.35">
      <c r="A230" t="s">
        <v>83</v>
      </c>
      <c r="B230" t="s">
        <v>63</v>
      </c>
      <c r="C230" t="s">
        <v>32</v>
      </c>
      <c r="D230">
        <v>112</v>
      </c>
      <c r="E230">
        <v>106</v>
      </c>
      <c r="F230">
        <v>-6</v>
      </c>
      <c r="G230">
        <v>-5.4</v>
      </c>
    </row>
    <row r="231" spans="1:7" x14ac:dyDescent="0.35">
      <c r="A231" t="s">
        <v>84</v>
      </c>
      <c r="B231" t="s">
        <v>63</v>
      </c>
      <c r="C231" t="s">
        <v>32</v>
      </c>
      <c r="D231">
        <v>119</v>
      </c>
      <c r="E231">
        <v>132</v>
      </c>
      <c r="F231">
        <v>13</v>
      </c>
      <c r="G231">
        <v>10.9</v>
      </c>
    </row>
    <row r="232" spans="1:7" x14ac:dyDescent="0.35">
      <c r="A232" t="s">
        <v>85</v>
      </c>
      <c r="B232" t="s">
        <v>63</v>
      </c>
      <c r="C232" t="s">
        <v>32</v>
      </c>
      <c r="D232">
        <v>122</v>
      </c>
      <c r="E232">
        <v>137</v>
      </c>
      <c r="F232">
        <v>15</v>
      </c>
      <c r="G232">
        <v>12.3</v>
      </c>
    </row>
    <row r="233" spans="1:7" x14ac:dyDescent="0.35">
      <c r="A233" t="s">
        <v>86</v>
      </c>
      <c r="B233" t="s">
        <v>63</v>
      </c>
      <c r="C233" t="s">
        <v>32</v>
      </c>
      <c r="D233">
        <v>130</v>
      </c>
      <c r="E233">
        <v>148</v>
      </c>
      <c r="F233">
        <v>18</v>
      </c>
      <c r="G233">
        <v>13.8</v>
      </c>
    </row>
    <row r="234" spans="1:7" x14ac:dyDescent="0.35">
      <c r="A234" t="s">
        <v>87</v>
      </c>
      <c r="B234" t="s">
        <v>63</v>
      </c>
      <c r="C234" t="s">
        <v>32</v>
      </c>
      <c r="D234">
        <v>123</v>
      </c>
      <c r="E234">
        <v>147</v>
      </c>
      <c r="F234">
        <v>24</v>
      </c>
      <c r="G234">
        <v>19.5</v>
      </c>
    </row>
    <row r="235" spans="1:7" x14ac:dyDescent="0.35">
      <c r="A235" t="s">
        <v>88</v>
      </c>
      <c r="B235" t="s">
        <v>63</v>
      </c>
      <c r="C235" t="s">
        <v>32</v>
      </c>
      <c r="D235">
        <v>127</v>
      </c>
      <c r="E235">
        <v>134</v>
      </c>
      <c r="F235">
        <v>7</v>
      </c>
      <c r="G235">
        <v>5.5</v>
      </c>
    </row>
    <row r="236" spans="1:7" x14ac:dyDescent="0.35">
      <c r="A236" t="s">
        <v>89</v>
      </c>
      <c r="B236" t="s">
        <v>63</v>
      </c>
      <c r="C236" t="s">
        <v>32</v>
      </c>
      <c r="D236">
        <v>116</v>
      </c>
      <c r="E236">
        <v>122</v>
      </c>
      <c r="F236">
        <v>6</v>
      </c>
      <c r="G236">
        <v>5.2</v>
      </c>
    </row>
    <row r="237" spans="1:7" x14ac:dyDescent="0.35">
      <c r="A237" t="s">
        <v>90</v>
      </c>
      <c r="B237" t="s">
        <v>63</v>
      </c>
      <c r="C237" t="s">
        <v>32</v>
      </c>
      <c r="D237">
        <v>139</v>
      </c>
      <c r="E237">
        <v>108</v>
      </c>
      <c r="F237">
        <v>-31</v>
      </c>
      <c r="G237">
        <v>-22.3</v>
      </c>
    </row>
    <row r="238" spans="1:7" x14ac:dyDescent="0.35">
      <c r="A238" t="s">
        <v>91</v>
      </c>
      <c r="B238" t="s">
        <v>63</v>
      </c>
      <c r="C238" t="s">
        <v>32</v>
      </c>
      <c r="D238">
        <v>125</v>
      </c>
      <c r="E238">
        <v>120</v>
      </c>
      <c r="F238">
        <v>-5</v>
      </c>
      <c r="G238">
        <v>-4</v>
      </c>
    </row>
    <row r="239" spans="1:7" x14ac:dyDescent="0.35">
      <c r="A239" t="s">
        <v>92</v>
      </c>
      <c r="B239" t="s">
        <v>63</v>
      </c>
      <c r="C239" t="s">
        <v>32</v>
      </c>
      <c r="D239">
        <v>133</v>
      </c>
      <c r="E239">
        <v>123</v>
      </c>
      <c r="F239">
        <v>-10</v>
      </c>
      <c r="G239">
        <v>-7.5</v>
      </c>
    </row>
    <row r="240" spans="1:7" x14ac:dyDescent="0.35">
      <c r="A240" t="s">
        <v>93</v>
      </c>
      <c r="B240" t="s">
        <v>63</v>
      </c>
      <c r="C240" t="s">
        <v>32</v>
      </c>
      <c r="D240">
        <v>147</v>
      </c>
      <c r="E240">
        <v>121</v>
      </c>
      <c r="F240">
        <v>-26</v>
      </c>
      <c r="G240">
        <v>-17.7</v>
      </c>
    </row>
    <row r="241" spans="1:7" x14ac:dyDescent="0.35">
      <c r="A241" t="s">
        <v>94</v>
      </c>
      <c r="B241" t="s">
        <v>63</v>
      </c>
      <c r="C241" t="s">
        <v>32</v>
      </c>
      <c r="D241">
        <v>151</v>
      </c>
      <c r="E241">
        <v>133</v>
      </c>
      <c r="F241">
        <v>-18</v>
      </c>
      <c r="G241">
        <v>-11.9</v>
      </c>
    </row>
    <row r="242" spans="1:7" x14ac:dyDescent="0.35">
      <c r="A242" t="s">
        <v>95</v>
      </c>
      <c r="B242" t="s">
        <v>63</v>
      </c>
      <c r="C242" t="s">
        <v>32</v>
      </c>
      <c r="D242">
        <v>151</v>
      </c>
      <c r="E242">
        <v>139</v>
      </c>
      <c r="F242">
        <v>-12</v>
      </c>
      <c r="G242">
        <v>-7.9</v>
      </c>
    </row>
    <row r="243" spans="1:7" x14ac:dyDescent="0.35">
      <c r="A243" t="s">
        <v>96</v>
      </c>
      <c r="B243" t="s">
        <v>63</v>
      </c>
      <c r="C243" t="s">
        <v>32</v>
      </c>
      <c r="D243">
        <v>151</v>
      </c>
      <c r="E243">
        <v>111</v>
      </c>
      <c r="F243">
        <v>-40</v>
      </c>
      <c r="G243">
        <v>-26.5</v>
      </c>
    </row>
    <row r="244" spans="1:7" x14ac:dyDescent="0.35">
      <c r="A244" t="s">
        <v>97</v>
      </c>
      <c r="B244" t="s">
        <v>63</v>
      </c>
      <c r="C244" t="s">
        <v>32</v>
      </c>
      <c r="D244">
        <v>159</v>
      </c>
      <c r="E244">
        <v>126</v>
      </c>
      <c r="F244">
        <v>-33</v>
      </c>
      <c r="G244">
        <v>-20.8</v>
      </c>
    </row>
    <row r="245" spans="1:7" x14ac:dyDescent="0.35">
      <c r="A245" t="s">
        <v>98</v>
      </c>
      <c r="B245" t="s">
        <v>63</v>
      </c>
      <c r="C245" t="s">
        <v>32</v>
      </c>
      <c r="D245">
        <v>136</v>
      </c>
      <c r="E245">
        <v>182</v>
      </c>
      <c r="F245">
        <v>46</v>
      </c>
      <c r="G245">
        <v>33.799999999999997</v>
      </c>
    </row>
    <row r="246" spans="1:7" x14ac:dyDescent="0.35">
      <c r="A246" t="s">
        <v>99</v>
      </c>
      <c r="B246" t="s">
        <v>63</v>
      </c>
      <c r="C246" t="s">
        <v>32</v>
      </c>
      <c r="D246">
        <v>137</v>
      </c>
      <c r="E246">
        <v>115</v>
      </c>
      <c r="F246">
        <v>-22</v>
      </c>
      <c r="G246">
        <v>-16.100000000000001</v>
      </c>
    </row>
    <row r="247" spans="1:7" x14ac:dyDescent="0.35">
      <c r="A247" t="s">
        <v>100</v>
      </c>
      <c r="B247" t="s">
        <v>63</v>
      </c>
      <c r="C247" t="s">
        <v>32</v>
      </c>
      <c r="D247">
        <v>145</v>
      </c>
      <c r="E247">
        <v>179</v>
      </c>
      <c r="F247">
        <v>34</v>
      </c>
      <c r="G247">
        <v>23.4</v>
      </c>
    </row>
    <row r="248" spans="1:7" x14ac:dyDescent="0.35">
      <c r="A248" t="s">
        <v>101</v>
      </c>
      <c r="B248" t="s">
        <v>63</v>
      </c>
      <c r="C248" t="s">
        <v>32</v>
      </c>
      <c r="D248">
        <v>159</v>
      </c>
      <c r="E248">
        <v>135</v>
      </c>
      <c r="F248">
        <v>-24</v>
      </c>
      <c r="G248">
        <v>-15.1</v>
      </c>
    </row>
    <row r="249" spans="1:7" x14ac:dyDescent="0.35">
      <c r="A249" t="s">
        <v>102</v>
      </c>
      <c r="B249" t="s">
        <v>63</v>
      </c>
      <c r="C249" t="s">
        <v>32</v>
      </c>
      <c r="D249">
        <v>157</v>
      </c>
      <c r="E249">
        <v>128</v>
      </c>
      <c r="F249">
        <v>-29</v>
      </c>
      <c r="G249">
        <v>-18.5</v>
      </c>
    </row>
    <row r="250" spans="1:7" x14ac:dyDescent="0.35">
      <c r="A250" t="s">
        <v>103</v>
      </c>
      <c r="B250" t="s">
        <v>63</v>
      </c>
      <c r="C250" t="s">
        <v>32</v>
      </c>
      <c r="D250">
        <v>175</v>
      </c>
      <c r="E250">
        <v>158</v>
      </c>
      <c r="F250">
        <v>-17</v>
      </c>
      <c r="G250">
        <v>-9.6999999999999993</v>
      </c>
    </row>
    <row r="251" spans="1:7" x14ac:dyDescent="0.35">
      <c r="A251" t="s">
        <v>104</v>
      </c>
      <c r="B251" t="s">
        <v>63</v>
      </c>
      <c r="C251" t="s">
        <v>32</v>
      </c>
      <c r="D251">
        <v>153</v>
      </c>
      <c r="E251">
        <v>150</v>
      </c>
      <c r="F251">
        <v>-3</v>
      </c>
      <c r="G251">
        <v>-2</v>
      </c>
    </row>
    <row r="252" spans="1:7" x14ac:dyDescent="0.35">
      <c r="A252" t="s">
        <v>105</v>
      </c>
      <c r="B252" t="s">
        <v>63</v>
      </c>
      <c r="C252" t="s">
        <v>32</v>
      </c>
      <c r="D252">
        <v>164</v>
      </c>
      <c r="E252">
        <v>198</v>
      </c>
      <c r="F252">
        <v>34</v>
      </c>
      <c r="G252">
        <v>20.7</v>
      </c>
    </row>
    <row r="253" spans="1:7" x14ac:dyDescent="0.35">
      <c r="A253" t="s">
        <v>106</v>
      </c>
      <c r="B253" t="s">
        <v>63</v>
      </c>
      <c r="C253" t="s">
        <v>32</v>
      </c>
      <c r="D253">
        <v>168</v>
      </c>
      <c r="E253">
        <v>183</v>
      </c>
      <c r="F253">
        <v>15</v>
      </c>
      <c r="G253">
        <v>8.9</v>
      </c>
    </row>
    <row r="254" spans="1:7" x14ac:dyDescent="0.35">
      <c r="A254" t="s">
        <v>107</v>
      </c>
      <c r="B254" t="s">
        <v>63</v>
      </c>
      <c r="C254" t="s">
        <v>32</v>
      </c>
      <c r="D254">
        <v>150</v>
      </c>
      <c r="E254">
        <v>145</v>
      </c>
      <c r="F254">
        <v>-5</v>
      </c>
      <c r="G254">
        <v>-3.3</v>
      </c>
    </row>
    <row r="255" spans="1:7" x14ac:dyDescent="0.35">
      <c r="A255" t="s">
        <v>108</v>
      </c>
      <c r="B255" t="s">
        <v>63</v>
      </c>
      <c r="C255" t="s">
        <v>32</v>
      </c>
      <c r="D255">
        <v>163</v>
      </c>
      <c r="E255">
        <v>195</v>
      </c>
      <c r="F255">
        <v>32</v>
      </c>
      <c r="G255">
        <v>19.600000000000001</v>
      </c>
    </row>
    <row r="256" spans="1:7" x14ac:dyDescent="0.35">
      <c r="A256" t="s">
        <v>109</v>
      </c>
      <c r="B256" t="s">
        <v>63</v>
      </c>
      <c r="C256" t="s">
        <v>32</v>
      </c>
      <c r="D256">
        <v>163</v>
      </c>
      <c r="E256">
        <v>193</v>
      </c>
      <c r="F256">
        <v>30</v>
      </c>
      <c r="G256">
        <v>18.399999999999999</v>
      </c>
    </row>
    <row r="257" spans="1:7" x14ac:dyDescent="0.35">
      <c r="A257" t="s">
        <v>110</v>
      </c>
      <c r="B257" t="s">
        <v>63</v>
      </c>
      <c r="C257" t="s">
        <v>32</v>
      </c>
      <c r="D257">
        <v>156</v>
      </c>
      <c r="E257">
        <v>196</v>
      </c>
      <c r="F257">
        <v>40</v>
      </c>
      <c r="G257">
        <v>25.6</v>
      </c>
    </row>
    <row r="258" spans="1:7" x14ac:dyDescent="0.35">
      <c r="A258" t="s">
        <v>111</v>
      </c>
      <c r="B258" t="s">
        <v>63</v>
      </c>
      <c r="C258" t="s">
        <v>32</v>
      </c>
      <c r="D258">
        <v>151</v>
      </c>
      <c r="E258">
        <v>168</v>
      </c>
      <c r="F258">
        <v>17</v>
      </c>
      <c r="G258">
        <v>11.3</v>
      </c>
    </row>
    <row r="259" spans="1:7" x14ac:dyDescent="0.35">
      <c r="A259" t="s">
        <v>112</v>
      </c>
      <c r="B259" t="s">
        <v>63</v>
      </c>
      <c r="C259" t="s">
        <v>32</v>
      </c>
      <c r="D259">
        <v>171</v>
      </c>
      <c r="E259">
        <v>140</v>
      </c>
      <c r="F259">
        <v>-31</v>
      </c>
      <c r="G259">
        <v>-18.100000000000001</v>
      </c>
    </row>
    <row r="260" spans="1:7" x14ac:dyDescent="0.35">
      <c r="A260" t="s">
        <v>113</v>
      </c>
      <c r="B260" t="s">
        <v>63</v>
      </c>
      <c r="C260" t="s">
        <v>32</v>
      </c>
      <c r="D260">
        <v>167</v>
      </c>
      <c r="E260">
        <v>145</v>
      </c>
      <c r="F260">
        <v>-22</v>
      </c>
      <c r="G260">
        <v>-13.2</v>
      </c>
    </row>
    <row r="261" spans="1:7" x14ac:dyDescent="0.35">
      <c r="A261" t="s">
        <v>114</v>
      </c>
      <c r="B261" t="s">
        <v>63</v>
      </c>
      <c r="C261" t="s">
        <v>32</v>
      </c>
      <c r="D261">
        <v>166</v>
      </c>
      <c r="E261">
        <v>185</v>
      </c>
      <c r="F261">
        <v>19</v>
      </c>
      <c r="G261">
        <v>11.4</v>
      </c>
    </row>
    <row r="262" spans="1:7" x14ac:dyDescent="0.35">
      <c r="A262" t="s">
        <v>62</v>
      </c>
      <c r="B262" t="s">
        <v>63</v>
      </c>
      <c r="C262" t="s">
        <v>37</v>
      </c>
      <c r="D262">
        <v>77</v>
      </c>
      <c r="E262">
        <v>67</v>
      </c>
      <c r="F262">
        <v>-10</v>
      </c>
      <c r="G262">
        <v>-13</v>
      </c>
    </row>
    <row r="263" spans="1:7" x14ac:dyDescent="0.35">
      <c r="A263" t="s">
        <v>64</v>
      </c>
      <c r="B263" t="s">
        <v>63</v>
      </c>
      <c r="C263" t="s">
        <v>37</v>
      </c>
      <c r="D263">
        <v>75</v>
      </c>
      <c r="E263">
        <v>71</v>
      </c>
      <c r="F263">
        <v>-4</v>
      </c>
      <c r="G263">
        <v>-5.3</v>
      </c>
    </row>
    <row r="264" spans="1:7" x14ac:dyDescent="0.35">
      <c r="A264" t="s">
        <v>65</v>
      </c>
      <c r="B264" t="s">
        <v>63</v>
      </c>
      <c r="C264" t="s">
        <v>37</v>
      </c>
      <c r="D264">
        <v>79</v>
      </c>
      <c r="E264">
        <v>72</v>
      </c>
      <c r="F264">
        <v>-7</v>
      </c>
      <c r="G264">
        <v>-8.9</v>
      </c>
    </row>
    <row r="265" spans="1:7" x14ac:dyDescent="0.35">
      <c r="A265" t="s">
        <v>66</v>
      </c>
      <c r="B265" t="s">
        <v>63</v>
      </c>
      <c r="C265" t="s">
        <v>37</v>
      </c>
      <c r="D265">
        <v>87</v>
      </c>
      <c r="E265">
        <v>95</v>
      </c>
      <c r="F265">
        <v>8</v>
      </c>
      <c r="G265">
        <v>9.1999999999999993</v>
      </c>
    </row>
    <row r="266" spans="1:7" x14ac:dyDescent="0.35">
      <c r="A266" t="s">
        <v>67</v>
      </c>
      <c r="B266" t="s">
        <v>63</v>
      </c>
      <c r="C266" t="s">
        <v>37</v>
      </c>
      <c r="D266">
        <v>77</v>
      </c>
      <c r="E266">
        <v>104</v>
      </c>
      <c r="F266">
        <v>27</v>
      </c>
      <c r="G266">
        <v>35.1</v>
      </c>
    </row>
    <row r="267" spans="1:7" x14ac:dyDescent="0.35">
      <c r="A267" t="s">
        <v>68</v>
      </c>
      <c r="B267" t="s">
        <v>63</v>
      </c>
      <c r="C267" t="s">
        <v>37</v>
      </c>
      <c r="D267">
        <v>89</v>
      </c>
      <c r="E267">
        <v>101</v>
      </c>
      <c r="F267">
        <v>12</v>
      </c>
      <c r="G267">
        <v>13.5</v>
      </c>
    </row>
    <row r="268" spans="1:7" x14ac:dyDescent="0.35">
      <c r="A268" t="s">
        <v>69</v>
      </c>
      <c r="B268" t="s">
        <v>63</v>
      </c>
      <c r="C268" t="s">
        <v>37</v>
      </c>
      <c r="D268">
        <v>93</v>
      </c>
      <c r="E268">
        <v>87</v>
      </c>
      <c r="F268">
        <v>-6</v>
      </c>
      <c r="G268">
        <v>-6.5</v>
      </c>
    </row>
    <row r="269" spans="1:7" x14ac:dyDescent="0.35">
      <c r="A269" t="s">
        <v>70</v>
      </c>
      <c r="B269" t="s">
        <v>63</v>
      </c>
      <c r="C269" t="s">
        <v>37</v>
      </c>
      <c r="D269">
        <v>97</v>
      </c>
      <c r="E269">
        <v>114</v>
      </c>
      <c r="F269">
        <v>17</v>
      </c>
      <c r="G269">
        <v>17.5</v>
      </c>
    </row>
    <row r="270" spans="1:7" x14ac:dyDescent="0.35">
      <c r="A270" t="s">
        <v>71</v>
      </c>
      <c r="B270" t="s">
        <v>63</v>
      </c>
      <c r="C270" t="s">
        <v>37</v>
      </c>
      <c r="D270">
        <v>91</v>
      </c>
      <c r="E270">
        <v>110</v>
      </c>
      <c r="F270">
        <v>19</v>
      </c>
      <c r="G270">
        <v>20.9</v>
      </c>
    </row>
    <row r="271" spans="1:7" x14ac:dyDescent="0.35">
      <c r="A271" t="s">
        <v>72</v>
      </c>
      <c r="B271" t="s">
        <v>63</v>
      </c>
      <c r="C271" t="s">
        <v>37</v>
      </c>
      <c r="D271">
        <v>99</v>
      </c>
      <c r="E271">
        <v>97</v>
      </c>
      <c r="F271">
        <v>-2</v>
      </c>
      <c r="G271">
        <v>-2</v>
      </c>
    </row>
    <row r="272" spans="1:7" x14ac:dyDescent="0.35">
      <c r="A272" t="s">
        <v>73</v>
      </c>
      <c r="B272" t="s">
        <v>63</v>
      </c>
      <c r="C272" t="s">
        <v>37</v>
      </c>
      <c r="D272">
        <v>99</v>
      </c>
      <c r="E272">
        <v>112</v>
      </c>
      <c r="F272">
        <v>13</v>
      </c>
      <c r="G272">
        <v>13.1</v>
      </c>
    </row>
    <row r="273" spans="1:7" x14ac:dyDescent="0.35">
      <c r="A273" t="s">
        <v>74</v>
      </c>
      <c r="B273" t="s">
        <v>63</v>
      </c>
      <c r="C273" t="s">
        <v>37</v>
      </c>
      <c r="D273">
        <v>99</v>
      </c>
      <c r="E273">
        <v>122</v>
      </c>
      <c r="F273">
        <v>23</v>
      </c>
      <c r="G273">
        <v>23.2</v>
      </c>
    </row>
    <row r="274" spans="1:7" x14ac:dyDescent="0.35">
      <c r="A274" t="s">
        <v>75</v>
      </c>
      <c r="B274" t="s">
        <v>63</v>
      </c>
      <c r="C274" t="s">
        <v>37</v>
      </c>
      <c r="D274">
        <v>113</v>
      </c>
      <c r="E274">
        <v>84</v>
      </c>
      <c r="F274">
        <v>-29</v>
      </c>
      <c r="G274">
        <v>-25.7</v>
      </c>
    </row>
    <row r="275" spans="1:7" x14ac:dyDescent="0.35">
      <c r="A275" t="s">
        <v>76</v>
      </c>
      <c r="B275" t="s">
        <v>63</v>
      </c>
      <c r="C275" t="s">
        <v>37</v>
      </c>
      <c r="D275">
        <v>117</v>
      </c>
      <c r="E275">
        <v>95</v>
      </c>
      <c r="F275">
        <v>-22</v>
      </c>
      <c r="G275">
        <v>-18.8</v>
      </c>
    </row>
    <row r="276" spans="1:7" x14ac:dyDescent="0.35">
      <c r="A276" t="s">
        <v>77</v>
      </c>
      <c r="B276" t="s">
        <v>63</v>
      </c>
      <c r="C276" t="s">
        <v>37</v>
      </c>
      <c r="D276">
        <v>111</v>
      </c>
      <c r="E276">
        <v>118</v>
      </c>
      <c r="F276">
        <v>7</v>
      </c>
      <c r="G276">
        <v>6.3</v>
      </c>
    </row>
    <row r="277" spans="1:7" x14ac:dyDescent="0.35">
      <c r="A277" t="s">
        <v>78</v>
      </c>
      <c r="B277" t="s">
        <v>63</v>
      </c>
      <c r="C277" t="s">
        <v>37</v>
      </c>
      <c r="D277">
        <v>112</v>
      </c>
      <c r="E277">
        <v>87</v>
      </c>
      <c r="F277">
        <v>-25</v>
      </c>
      <c r="G277">
        <v>-22.3</v>
      </c>
    </row>
    <row r="278" spans="1:7" x14ac:dyDescent="0.35">
      <c r="A278" t="s">
        <v>79</v>
      </c>
      <c r="B278" t="s">
        <v>63</v>
      </c>
      <c r="C278" t="s">
        <v>37</v>
      </c>
      <c r="D278">
        <v>126</v>
      </c>
      <c r="E278">
        <v>99</v>
      </c>
      <c r="F278">
        <v>-27</v>
      </c>
      <c r="G278">
        <v>-21.4</v>
      </c>
    </row>
    <row r="279" spans="1:7" x14ac:dyDescent="0.35">
      <c r="A279" t="s">
        <v>80</v>
      </c>
      <c r="B279" t="s">
        <v>63</v>
      </c>
      <c r="C279" t="s">
        <v>37</v>
      </c>
      <c r="D279">
        <v>113</v>
      </c>
      <c r="E279">
        <v>138</v>
      </c>
      <c r="F279">
        <v>25</v>
      </c>
      <c r="G279">
        <v>22.1</v>
      </c>
    </row>
    <row r="280" spans="1:7" x14ac:dyDescent="0.35">
      <c r="A280" t="s">
        <v>81</v>
      </c>
      <c r="B280" t="s">
        <v>63</v>
      </c>
      <c r="C280" t="s">
        <v>37</v>
      </c>
      <c r="D280">
        <v>119</v>
      </c>
      <c r="E280">
        <v>146</v>
      </c>
      <c r="F280">
        <v>27</v>
      </c>
      <c r="G280">
        <v>22.7</v>
      </c>
    </row>
    <row r="281" spans="1:7" x14ac:dyDescent="0.35">
      <c r="A281" t="s">
        <v>82</v>
      </c>
      <c r="B281" t="s">
        <v>63</v>
      </c>
      <c r="C281" t="s">
        <v>37</v>
      </c>
      <c r="D281">
        <v>131</v>
      </c>
      <c r="E281">
        <v>111</v>
      </c>
      <c r="F281">
        <v>-20</v>
      </c>
      <c r="G281">
        <v>-15.3</v>
      </c>
    </row>
    <row r="282" spans="1:7" x14ac:dyDescent="0.35">
      <c r="A282" t="s">
        <v>83</v>
      </c>
      <c r="B282" t="s">
        <v>63</v>
      </c>
      <c r="C282" t="s">
        <v>37</v>
      </c>
      <c r="D282">
        <v>116</v>
      </c>
      <c r="E282">
        <v>157</v>
      </c>
      <c r="F282">
        <v>41</v>
      </c>
      <c r="G282">
        <v>35.299999999999997</v>
      </c>
    </row>
    <row r="283" spans="1:7" x14ac:dyDescent="0.35">
      <c r="A283" t="s">
        <v>84</v>
      </c>
      <c r="B283" t="s">
        <v>63</v>
      </c>
      <c r="C283" t="s">
        <v>37</v>
      </c>
      <c r="D283">
        <v>120</v>
      </c>
      <c r="E283">
        <v>146</v>
      </c>
      <c r="F283">
        <v>26</v>
      </c>
      <c r="G283">
        <v>21.7</v>
      </c>
    </row>
    <row r="284" spans="1:7" x14ac:dyDescent="0.35">
      <c r="A284" t="s">
        <v>85</v>
      </c>
      <c r="B284" t="s">
        <v>63</v>
      </c>
      <c r="C284" t="s">
        <v>37</v>
      </c>
      <c r="D284">
        <v>134</v>
      </c>
      <c r="E284">
        <v>151</v>
      </c>
      <c r="F284">
        <v>17</v>
      </c>
      <c r="G284">
        <v>12.7</v>
      </c>
    </row>
    <row r="285" spans="1:7" x14ac:dyDescent="0.35">
      <c r="A285" t="s">
        <v>86</v>
      </c>
      <c r="B285" t="s">
        <v>63</v>
      </c>
      <c r="C285" t="s">
        <v>37</v>
      </c>
      <c r="D285">
        <v>142</v>
      </c>
      <c r="E285">
        <v>147</v>
      </c>
      <c r="F285">
        <v>5</v>
      </c>
      <c r="G285">
        <v>3.5</v>
      </c>
    </row>
    <row r="286" spans="1:7" x14ac:dyDescent="0.35">
      <c r="A286" t="s">
        <v>87</v>
      </c>
      <c r="B286" t="s">
        <v>63</v>
      </c>
      <c r="C286" t="s">
        <v>37</v>
      </c>
      <c r="D286">
        <v>139</v>
      </c>
      <c r="E286">
        <v>160</v>
      </c>
      <c r="F286">
        <v>21</v>
      </c>
      <c r="G286">
        <v>15.1</v>
      </c>
    </row>
    <row r="287" spans="1:7" x14ac:dyDescent="0.35">
      <c r="A287" t="s">
        <v>88</v>
      </c>
      <c r="B287" t="s">
        <v>63</v>
      </c>
      <c r="C287" t="s">
        <v>37</v>
      </c>
      <c r="D287">
        <v>130</v>
      </c>
      <c r="E287">
        <v>122</v>
      </c>
      <c r="F287">
        <v>-8</v>
      </c>
      <c r="G287">
        <v>-6.2</v>
      </c>
    </row>
    <row r="288" spans="1:7" x14ac:dyDescent="0.35">
      <c r="A288" t="s">
        <v>89</v>
      </c>
      <c r="B288" t="s">
        <v>63</v>
      </c>
      <c r="C288" t="s">
        <v>37</v>
      </c>
      <c r="D288">
        <v>150</v>
      </c>
      <c r="E288">
        <v>131</v>
      </c>
      <c r="F288">
        <v>-19</v>
      </c>
      <c r="G288">
        <v>-12.7</v>
      </c>
    </row>
    <row r="289" spans="1:7" x14ac:dyDescent="0.35">
      <c r="A289" t="s">
        <v>90</v>
      </c>
      <c r="B289" t="s">
        <v>63</v>
      </c>
      <c r="C289" t="s">
        <v>37</v>
      </c>
      <c r="D289">
        <v>150</v>
      </c>
      <c r="E289">
        <v>146</v>
      </c>
      <c r="F289">
        <v>-4</v>
      </c>
      <c r="G289">
        <v>-2.7</v>
      </c>
    </row>
    <row r="290" spans="1:7" x14ac:dyDescent="0.35">
      <c r="A290" t="s">
        <v>91</v>
      </c>
      <c r="B290" t="s">
        <v>63</v>
      </c>
      <c r="C290" t="s">
        <v>37</v>
      </c>
      <c r="D290">
        <v>151</v>
      </c>
      <c r="E290">
        <v>145</v>
      </c>
      <c r="F290">
        <v>-6</v>
      </c>
      <c r="G290">
        <v>-4</v>
      </c>
    </row>
    <row r="291" spans="1:7" x14ac:dyDescent="0.35">
      <c r="A291" t="s">
        <v>92</v>
      </c>
      <c r="B291" t="s">
        <v>63</v>
      </c>
      <c r="C291" t="s">
        <v>37</v>
      </c>
      <c r="D291">
        <v>161</v>
      </c>
      <c r="E291">
        <v>140</v>
      </c>
      <c r="F291">
        <v>-21</v>
      </c>
      <c r="G291">
        <v>-13</v>
      </c>
    </row>
    <row r="292" spans="1:7" x14ac:dyDescent="0.35">
      <c r="A292" t="s">
        <v>93</v>
      </c>
      <c r="B292" t="s">
        <v>63</v>
      </c>
      <c r="C292" t="s">
        <v>37</v>
      </c>
      <c r="D292">
        <v>162</v>
      </c>
      <c r="E292">
        <v>138</v>
      </c>
      <c r="F292">
        <v>-24</v>
      </c>
      <c r="G292">
        <v>-14.8</v>
      </c>
    </row>
    <row r="293" spans="1:7" x14ac:dyDescent="0.35">
      <c r="A293" t="s">
        <v>94</v>
      </c>
      <c r="B293" t="s">
        <v>63</v>
      </c>
      <c r="C293" t="s">
        <v>37</v>
      </c>
      <c r="D293">
        <v>151</v>
      </c>
      <c r="E293">
        <v>128</v>
      </c>
      <c r="F293">
        <v>-23</v>
      </c>
      <c r="G293">
        <v>-15.2</v>
      </c>
    </row>
    <row r="294" spans="1:7" x14ac:dyDescent="0.35">
      <c r="A294" t="s">
        <v>95</v>
      </c>
      <c r="B294" t="s">
        <v>63</v>
      </c>
      <c r="C294" t="s">
        <v>37</v>
      </c>
      <c r="D294">
        <v>151</v>
      </c>
      <c r="E294">
        <v>131</v>
      </c>
      <c r="F294">
        <v>-20</v>
      </c>
      <c r="G294">
        <v>-13.2</v>
      </c>
    </row>
    <row r="295" spans="1:7" x14ac:dyDescent="0.35">
      <c r="A295" t="s">
        <v>96</v>
      </c>
      <c r="B295" t="s">
        <v>63</v>
      </c>
      <c r="C295" t="s">
        <v>37</v>
      </c>
      <c r="D295">
        <v>165</v>
      </c>
      <c r="E295">
        <v>186</v>
      </c>
      <c r="F295">
        <v>21</v>
      </c>
      <c r="G295">
        <v>12.7</v>
      </c>
    </row>
    <row r="296" spans="1:7" x14ac:dyDescent="0.35">
      <c r="A296" t="s">
        <v>97</v>
      </c>
      <c r="B296" t="s">
        <v>63</v>
      </c>
      <c r="C296" t="s">
        <v>37</v>
      </c>
      <c r="D296">
        <v>156</v>
      </c>
      <c r="E296">
        <v>143</v>
      </c>
      <c r="F296">
        <v>-13</v>
      </c>
      <c r="G296">
        <v>-8.3000000000000007</v>
      </c>
    </row>
    <row r="297" spans="1:7" x14ac:dyDescent="0.35">
      <c r="A297" t="s">
        <v>98</v>
      </c>
      <c r="B297" t="s">
        <v>63</v>
      </c>
      <c r="C297" t="s">
        <v>37</v>
      </c>
      <c r="D297">
        <v>169</v>
      </c>
      <c r="E297">
        <v>189</v>
      </c>
      <c r="F297">
        <v>20</v>
      </c>
      <c r="G297">
        <v>11.8</v>
      </c>
    </row>
    <row r="298" spans="1:7" x14ac:dyDescent="0.35">
      <c r="A298" t="s">
        <v>99</v>
      </c>
      <c r="B298" t="s">
        <v>63</v>
      </c>
      <c r="C298" t="s">
        <v>37</v>
      </c>
      <c r="D298">
        <v>189</v>
      </c>
      <c r="E298">
        <v>175</v>
      </c>
      <c r="F298">
        <v>-14</v>
      </c>
      <c r="G298">
        <v>-7.4</v>
      </c>
    </row>
    <row r="299" spans="1:7" x14ac:dyDescent="0.35">
      <c r="A299" t="s">
        <v>100</v>
      </c>
      <c r="B299" t="s">
        <v>63</v>
      </c>
      <c r="C299" t="s">
        <v>37</v>
      </c>
      <c r="D299">
        <v>168</v>
      </c>
      <c r="E299">
        <v>140</v>
      </c>
      <c r="F299">
        <v>-28</v>
      </c>
      <c r="G299">
        <v>-16.7</v>
      </c>
    </row>
    <row r="300" spans="1:7" x14ac:dyDescent="0.35">
      <c r="A300" t="s">
        <v>101</v>
      </c>
      <c r="B300" t="s">
        <v>63</v>
      </c>
      <c r="C300" t="s">
        <v>37</v>
      </c>
      <c r="D300">
        <v>167</v>
      </c>
      <c r="E300">
        <v>154</v>
      </c>
      <c r="F300">
        <v>-13</v>
      </c>
      <c r="G300">
        <v>-7.8</v>
      </c>
    </row>
    <row r="301" spans="1:7" x14ac:dyDescent="0.35">
      <c r="A301" t="s">
        <v>102</v>
      </c>
      <c r="B301" t="s">
        <v>63</v>
      </c>
      <c r="C301" t="s">
        <v>37</v>
      </c>
      <c r="D301">
        <v>169</v>
      </c>
      <c r="E301">
        <v>137</v>
      </c>
      <c r="F301">
        <v>-32</v>
      </c>
      <c r="G301">
        <v>-18.899999999999999</v>
      </c>
    </row>
    <row r="302" spans="1:7" x14ac:dyDescent="0.35">
      <c r="A302" t="s">
        <v>103</v>
      </c>
      <c r="B302" t="s">
        <v>63</v>
      </c>
      <c r="C302" t="s">
        <v>37</v>
      </c>
      <c r="D302">
        <v>185</v>
      </c>
      <c r="E302">
        <v>163</v>
      </c>
      <c r="F302">
        <v>-22</v>
      </c>
      <c r="G302">
        <v>-11.9</v>
      </c>
    </row>
    <row r="303" spans="1:7" x14ac:dyDescent="0.35">
      <c r="A303" t="s">
        <v>104</v>
      </c>
      <c r="B303" t="s">
        <v>63</v>
      </c>
      <c r="C303" t="s">
        <v>37</v>
      </c>
      <c r="D303">
        <v>201</v>
      </c>
      <c r="E303">
        <v>188</v>
      </c>
      <c r="F303">
        <v>-13</v>
      </c>
      <c r="G303">
        <v>-6.5</v>
      </c>
    </row>
    <row r="304" spans="1:7" x14ac:dyDescent="0.35">
      <c r="A304" t="s">
        <v>105</v>
      </c>
      <c r="B304" t="s">
        <v>63</v>
      </c>
      <c r="C304" t="s">
        <v>37</v>
      </c>
      <c r="D304">
        <v>191</v>
      </c>
      <c r="E304">
        <v>149</v>
      </c>
      <c r="F304">
        <v>-42</v>
      </c>
      <c r="G304">
        <v>-22</v>
      </c>
    </row>
    <row r="305" spans="1:7" x14ac:dyDescent="0.35">
      <c r="A305" t="s">
        <v>106</v>
      </c>
      <c r="B305" t="s">
        <v>63</v>
      </c>
      <c r="C305" t="s">
        <v>37</v>
      </c>
      <c r="D305">
        <v>197</v>
      </c>
      <c r="E305">
        <v>183</v>
      </c>
      <c r="F305">
        <v>-14</v>
      </c>
      <c r="G305">
        <v>-7.1</v>
      </c>
    </row>
    <row r="306" spans="1:7" x14ac:dyDescent="0.35">
      <c r="A306" t="s">
        <v>107</v>
      </c>
      <c r="B306" t="s">
        <v>63</v>
      </c>
      <c r="C306" t="s">
        <v>37</v>
      </c>
      <c r="D306">
        <v>197</v>
      </c>
      <c r="E306">
        <v>190</v>
      </c>
      <c r="F306">
        <v>-7</v>
      </c>
      <c r="G306">
        <v>-3.6</v>
      </c>
    </row>
    <row r="307" spans="1:7" x14ac:dyDescent="0.35">
      <c r="A307" t="s">
        <v>108</v>
      </c>
      <c r="B307" t="s">
        <v>63</v>
      </c>
      <c r="C307" t="s">
        <v>37</v>
      </c>
      <c r="D307">
        <v>182</v>
      </c>
      <c r="E307">
        <v>178</v>
      </c>
      <c r="F307">
        <v>-4</v>
      </c>
      <c r="G307">
        <v>-2.2000000000000002</v>
      </c>
    </row>
    <row r="308" spans="1:7" x14ac:dyDescent="0.35">
      <c r="A308" t="s">
        <v>109</v>
      </c>
      <c r="B308" t="s">
        <v>63</v>
      </c>
      <c r="C308" t="s">
        <v>37</v>
      </c>
      <c r="D308">
        <v>172</v>
      </c>
      <c r="E308">
        <v>142</v>
      </c>
      <c r="F308">
        <v>-30</v>
      </c>
      <c r="G308">
        <v>-17.399999999999999</v>
      </c>
    </row>
    <row r="309" spans="1:7" x14ac:dyDescent="0.35">
      <c r="A309" t="s">
        <v>110</v>
      </c>
      <c r="B309" t="s">
        <v>63</v>
      </c>
      <c r="C309" t="s">
        <v>37</v>
      </c>
      <c r="D309">
        <v>200</v>
      </c>
      <c r="E309">
        <v>181</v>
      </c>
      <c r="F309">
        <v>-19</v>
      </c>
      <c r="G309">
        <v>-9.5</v>
      </c>
    </row>
    <row r="310" spans="1:7" x14ac:dyDescent="0.35">
      <c r="A310" t="s">
        <v>111</v>
      </c>
      <c r="B310" t="s">
        <v>63</v>
      </c>
      <c r="C310" t="s">
        <v>37</v>
      </c>
      <c r="D310">
        <v>195</v>
      </c>
      <c r="E310">
        <v>174</v>
      </c>
      <c r="F310">
        <v>-21</v>
      </c>
      <c r="G310">
        <v>-10.8</v>
      </c>
    </row>
    <row r="311" spans="1:7" x14ac:dyDescent="0.35">
      <c r="A311" t="s">
        <v>112</v>
      </c>
      <c r="B311" t="s">
        <v>63</v>
      </c>
      <c r="C311" t="s">
        <v>37</v>
      </c>
      <c r="D311">
        <v>168</v>
      </c>
      <c r="E311">
        <v>195</v>
      </c>
      <c r="F311">
        <v>27</v>
      </c>
      <c r="G311">
        <v>16.100000000000001</v>
      </c>
    </row>
    <row r="312" spans="1:7" x14ac:dyDescent="0.35">
      <c r="A312" t="s">
        <v>113</v>
      </c>
      <c r="B312" t="s">
        <v>63</v>
      </c>
      <c r="C312" t="s">
        <v>37</v>
      </c>
      <c r="D312">
        <v>167</v>
      </c>
      <c r="E312">
        <v>151</v>
      </c>
      <c r="F312">
        <v>-16</v>
      </c>
      <c r="G312">
        <v>-9.6</v>
      </c>
    </row>
    <row r="313" spans="1:7" x14ac:dyDescent="0.35">
      <c r="A313" t="s">
        <v>114</v>
      </c>
      <c r="B313" t="s">
        <v>63</v>
      </c>
      <c r="C313" t="s">
        <v>37</v>
      </c>
      <c r="D313">
        <v>186</v>
      </c>
      <c r="E313">
        <v>165</v>
      </c>
      <c r="F313">
        <v>-21</v>
      </c>
      <c r="G313">
        <v>-11.3</v>
      </c>
    </row>
    <row r="314" spans="1:7" x14ac:dyDescent="0.35">
      <c r="A314" t="s">
        <v>62</v>
      </c>
      <c r="B314" t="s">
        <v>115</v>
      </c>
      <c r="C314" t="s">
        <v>8</v>
      </c>
      <c r="D314">
        <v>38</v>
      </c>
      <c r="E314">
        <v>46</v>
      </c>
      <c r="F314">
        <v>8</v>
      </c>
      <c r="G314">
        <v>21.1</v>
      </c>
    </row>
    <row r="315" spans="1:7" x14ac:dyDescent="0.35">
      <c r="A315" t="s">
        <v>64</v>
      </c>
      <c r="B315" t="s">
        <v>115</v>
      </c>
      <c r="C315" t="s">
        <v>8</v>
      </c>
      <c r="D315">
        <v>43</v>
      </c>
      <c r="E315">
        <v>48</v>
      </c>
      <c r="F315">
        <v>5</v>
      </c>
      <c r="G315">
        <v>11.6</v>
      </c>
    </row>
    <row r="316" spans="1:7" x14ac:dyDescent="0.35">
      <c r="A316" t="s">
        <v>65</v>
      </c>
      <c r="B316" t="s">
        <v>115</v>
      </c>
      <c r="C316" t="s">
        <v>8</v>
      </c>
      <c r="D316">
        <v>41</v>
      </c>
      <c r="E316">
        <v>44</v>
      </c>
      <c r="F316">
        <v>3</v>
      </c>
      <c r="G316">
        <v>7.3</v>
      </c>
    </row>
    <row r="317" spans="1:7" x14ac:dyDescent="0.35">
      <c r="A317" t="s">
        <v>66</v>
      </c>
      <c r="B317" t="s">
        <v>115</v>
      </c>
      <c r="C317" t="s">
        <v>8</v>
      </c>
      <c r="D317">
        <v>45</v>
      </c>
      <c r="E317">
        <v>44</v>
      </c>
      <c r="F317">
        <v>-1</v>
      </c>
      <c r="G317">
        <v>-2.2000000000000002</v>
      </c>
    </row>
    <row r="318" spans="1:7" x14ac:dyDescent="0.35">
      <c r="A318" t="s">
        <v>67</v>
      </c>
      <c r="B318" t="s">
        <v>115</v>
      </c>
      <c r="C318" t="s">
        <v>8</v>
      </c>
      <c r="D318">
        <v>50</v>
      </c>
      <c r="E318">
        <v>58</v>
      </c>
      <c r="F318">
        <v>8</v>
      </c>
      <c r="G318">
        <v>16</v>
      </c>
    </row>
    <row r="319" spans="1:7" x14ac:dyDescent="0.35">
      <c r="A319" t="s">
        <v>68</v>
      </c>
      <c r="B319" t="s">
        <v>115</v>
      </c>
      <c r="C319" t="s">
        <v>8</v>
      </c>
      <c r="D319">
        <v>47</v>
      </c>
      <c r="E319">
        <v>51</v>
      </c>
      <c r="F319">
        <v>4</v>
      </c>
      <c r="G319">
        <v>8.5</v>
      </c>
    </row>
    <row r="320" spans="1:7" x14ac:dyDescent="0.35">
      <c r="A320" t="s">
        <v>69</v>
      </c>
      <c r="B320" t="s">
        <v>115</v>
      </c>
      <c r="C320" t="s">
        <v>8</v>
      </c>
      <c r="D320">
        <v>51</v>
      </c>
      <c r="E320">
        <v>56</v>
      </c>
      <c r="F320">
        <v>5</v>
      </c>
      <c r="G320">
        <v>9.8000000000000007</v>
      </c>
    </row>
    <row r="321" spans="1:7" x14ac:dyDescent="0.35">
      <c r="A321" t="s">
        <v>70</v>
      </c>
      <c r="B321" t="s">
        <v>115</v>
      </c>
      <c r="C321" t="s">
        <v>8</v>
      </c>
      <c r="D321">
        <v>56</v>
      </c>
      <c r="E321">
        <v>44</v>
      </c>
      <c r="F321">
        <v>-12</v>
      </c>
      <c r="G321">
        <v>-21.4</v>
      </c>
    </row>
    <row r="322" spans="1:7" x14ac:dyDescent="0.35">
      <c r="A322" t="s">
        <v>71</v>
      </c>
      <c r="B322" t="s">
        <v>115</v>
      </c>
      <c r="C322" t="s">
        <v>8</v>
      </c>
      <c r="D322">
        <v>50</v>
      </c>
      <c r="E322">
        <v>57</v>
      </c>
      <c r="F322">
        <v>7</v>
      </c>
      <c r="G322">
        <v>14</v>
      </c>
    </row>
    <row r="323" spans="1:7" x14ac:dyDescent="0.35">
      <c r="A323" t="s">
        <v>72</v>
      </c>
      <c r="B323" t="s">
        <v>115</v>
      </c>
      <c r="C323" t="s">
        <v>8</v>
      </c>
      <c r="D323">
        <v>51</v>
      </c>
      <c r="E323">
        <v>46</v>
      </c>
      <c r="F323">
        <v>-5</v>
      </c>
      <c r="G323">
        <v>-9.8000000000000007</v>
      </c>
    </row>
    <row r="324" spans="1:7" x14ac:dyDescent="0.35">
      <c r="A324" t="s">
        <v>73</v>
      </c>
      <c r="B324" t="s">
        <v>115</v>
      </c>
      <c r="C324" t="s">
        <v>8</v>
      </c>
      <c r="D324">
        <v>51</v>
      </c>
      <c r="E324">
        <v>42</v>
      </c>
      <c r="F324">
        <v>-9</v>
      </c>
      <c r="G324">
        <v>-17.600000000000001</v>
      </c>
    </row>
    <row r="325" spans="1:7" x14ac:dyDescent="0.35">
      <c r="A325" t="s">
        <v>74</v>
      </c>
      <c r="B325" t="s">
        <v>115</v>
      </c>
      <c r="C325" t="s">
        <v>8</v>
      </c>
      <c r="D325">
        <v>57</v>
      </c>
      <c r="E325">
        <v>60</v>
      </c>
      <c r="F325">
        <v>3</v>
      </c>
      <c r="G325">
        <v>5.3</v>
      </c>
    </row>
    <row r="326" spans="1:7" x14ac:dyDescent="0.35">
      <c r="A326" t="s">
        <v>75</v>
      </c>
      <c r="B326" t="s">
        <v>115</v>
      </c>
      <c r="C326" t="s">
        <v>8</v>
      </c>
      <c r="D326">
        <v>57</v>
      </c>
      <c r="E326">
        <v>51</v>
      </c>
      <c r="F326">
        <v>-6</v>
      </c>
      <c r="G326">
        <v>-10.5</v>
      </c>
    </row>
    <row r="327" spans="1:7" x14ac:dyDescent="0.35">
      <c r="A327" t="s">
        <v>76</v>
      </c>
      <c r="B327" t="s">
        <v>115</v>
      </c>
      <c r="C327" t="s">
        <v>8</v>
      </c>
      <c r="D327">
        <v>63</v>
      </c>
      <c r="E327">
        <v>67</v>
      </c>
      <c r="F327">
        <v>4</v>
      </c>
      <c r="G327">
        <v>6.3</v>
      </c>
    </row>
    <row r="328" spans="1:7" x14ac:dyDescent="0.35">
      <c r="A328" t="s">
        <v>77</v>
      </c>
      <c r="B328" t="s">
        <v>115</v>
      </c>
      <c r="C328" t="s">
        <v>8</v>
      </c>
      <c r="D328">
        <v>62</v>
      </c>
      <c r="E328">
        <v>68</v>
      </c>
      <c r="F328">
        <v>6</v>
      </c>
      <c r="G328">
        <v>9.6999999999999993</v>
      </c>
    </row>
    <row r="329" spans="1:7" x14ac:dyDescent="0.35">
      <c r="A329" t="s">
        <v>78</v>
      </c>
      <c r="B329" t="s">
        <v>115</v>
      </c>
      <c r="C329" t="s">
        <v>8</v>
      </c>
      <c r="D329">
        <v>69</v>
      </c>
      <c r="E329">
        <v>73</v>
      </c>
      <c r="F329">
        <v>4</v>
      </c>
      <c r="G329">
        <v>5.8</v>
      </c>
    </row>
    <row r="330" spans="1:7" x14ac:dyDescent="0.35">
      <c r="A330" t="s">
        <v>79</v>
      </c>
      <c r="B330" t="s">
        <v>115</v>
      </c>
      <c r="C330" t="s">
        <v>8</v>
      </c>
      <c r="D330">
        <v>67</v>
      </c>
      <c r="E330">
        <v>71</v>
      </c>
      <c r="F330">
        <v>4</v>
      </c>
      <c r="G330">
        <v>6</v>
      </c>
    </row>
    <row r="331" spans="1:7" x14ac:dyDescent="0.35">
      <c r="A331" t="s">
        <v>80</v>
      </c>
      <c r="B331" t="s">
        <v>115</v>
      </c>
      <c r="C331" t="s">
        <v>8</v>
      </c>
      <c r="D331">
        <v>73</v>
      </c>
      <c r="E331">
        <v>64</v>
      </c>
      <c r="F331">
        <v>-9</v>
      </c>
      <c r="G331">
        <v>-12.3</v>
      </c>
    </row>
    <row r="332" spans="1:7" x14ac:dyDescent="0.35">
      <c r="A332" t="s">
        <v>81</v>
      </c>
      <c r="B332" t="s">
        <v>115</v>
      </c>
      <c r="C332" t="s">
        <v>8</v>
      </c>
      <c r="D332">
        <v>69</v>
      </c>
      <c r="E332">
        <v>74</v>
      </c>
      <c r="F332">
        <v>5</v>
      </c>
      <c r="G332">
        <v>7.2</v>
      </c>
    </row>
    <row r="333" spans="1:7" x14ac:dyDescent="0.35">
      <c r="A333" t="s">
        <v>82</v>
      </c>
      <c r="B333" t="s">
        <v>115</v>
      </c>
      <c r="C333" t="s">
        <v>8</v>
      </c>
      <c r="D333">
        <v>76</v>
      </c>
      <c r="E333">
        <v>82</v>
      </c>
      <c r="F333">
        <v>6</v>
      </c>
      <c r="G333">
        <v>7.9</v>
      </c>
    </row>
    <row r="334" spans="1:7" x14ac:dyDescent="0.35">
      <c r="A334" t="s">
        <v>83</v>
      </c>
      <c r="B334" t="s">
        <v>115</v>
      </c>
      <c r="C334" t="s">
        <v>8</v>
      </c>
      <c r="D334">
        <v>65</v>
      </c>
      <c r="E334">
        <v>27</v>
      </c>
      <c r="F334">
        <v>-38</v>
      </c>
      <c r="G334">
        <v>-58.5</v>
      </c>
    </row>
    <row r="335" spans="1:7" x14ac:dyDescent="0.35">
      <c r="A335" t="s">
        <v>84</v>
      </c>
      <c r="B335" t="s">
        <v>115</v>
      </c>
      <c r="C335" t="s">
        <v>8</v>
      </c>
      <c r="D335">
        <v>70</v>
      </c>
      <c r="E335">
        <v>36</v>
      </c>
      <c r="F335">
        <v>-34</v>
      </c>
      <c r="G335">
        <v>-48.6</v>
      </c>
    </row>
    <row r="336" spans="1:7" x14ac:dyDescent="0.35">
      <c r="A336" t="s">
        <v>85</v>
      </c>
      <c r="B336" t="s">
        <v>115</v>
      </c>
      <c r="C336" t="s">
        <v>8</v>
      </c>
      <c r="D336">
        <v>76</v>
      </c>
      <c r="E336">
        <v>30</v>
      </c>
      <c r="F336">
        <v>-46</v>
      </c>
      <c r="G336">
        <v>-60.5</v>
      </c>
    </row>
    <row r="337" spans="1:7" x14ac:dyDescent="0.35">
      <c r="A337" t="s">
        <v>86</v>
      </c>
      <c r="B337" t="s">
        <v>115</v>
      </c>
      <c r="C337" t="s">
        <v>8</v>
      </c>
      <c r="D337">
        <v>70</v>
      </c>
      <c r="E337">
        <v>37</v>
      </c>
      <c r="F337">
        <v>-33</v>
      </c>
      <c r="G337">
        <v>-47.1</v>
      </c>
    </row>
    <row r="338" spans="1:7" x14ac:dyDescent="0.35">
      <c r="A338" t="s">
        <v>87</v>
      </c>
      <c r="B338" t="s">
        <v>115</v>
      </c>
      <c r="C338" t="s">
        <v>8</v>
      </c>
      <c r="D338">
        <v>81</v>
      </c>
      <c r="E338">
        <v>42</v>
      </c>
      <c r="F338">
        <v>-39</v>
      </c>
      <c r="G338">
        <v>-48.1</v>
      </c>
    </row>
    <row r="339" spans="1:7" x14ac:dyDescent="0.35">
      <c r="A339" t="s">
        <v>88</v>
      </c>
      <c r="B339" t="s">
        <v>115</v>
      </c>
      <c r="C339" t="s">
        <v>8</v>
      </c>
      <c r="D339">
        <v>79</v>
      </c>
      <c r="E339">
        <v>79</v>
      </c>
      <c r="F339">
        <v>0</v>
      </c>
      <c r="G339">
        <v>0</v>
      </c>
    </row>
    <row r="340" spans="1:7" x14ac:dyDescent="0.35">
      <c r="A340" t="s">
        <v>89</v>
      </c>
      <c r="B340" t="s">
        <v>115</v>
      </c>
      <c r="C340" t="s">
        <v>8</v>
      </c>
      <c r="D340">
        <v>74</v>
      </c>
      <c r="E340">
        <v>62</v>
      </c>
      <c r="F340">
        <v>-12</v>
      </c>
      <c r="G340">
        <v>-16.2</v>
      </c>
    </row>
    <row r="341" spans="1:7" x14ac:dyDescent="0.35">
      <c r="A341" t="s">
        <v>90</v>
      </c>
      <c r="B341" t="s">
        <v>115</v>
      </c>
      <c r="C341" t="s">
        <v>8</v>
      </c>
      <c r="D341">
        <v>81</v>
      </c>
      <c r="E341">
        <v>75</v>
      </c>
      <c r="F341">
        <v>-6</v>
      </c>
      <c r="G341">
        <v>-7.4</v>
      </c>
    </row>
    <row r="342" spans="1:7" x14ac:dyDescent="0.35">
      <c r="A342" t="s">
        <v>91</v>
      </c>
      <c r="B342" t="s">
        <v>115</v>
      </c>
      <c r="C342" t="s">
        <v>8</v>
      </c>
      <c r="D342">
        <v>80</v>
      </c>
      <c r="E342">
        <v>67</v>
      </c>
      <c r="F342">
        <v>-13</v>
      </c>
      <c r="G342">
        <v>-16.2</v>
      </c>
    </row>
    <row r="343" spans="1:7" x14ac:dyDescent="0.35">
      <c r="A343" t="s">
        <v>92</v>
      </c>
      <c r="B343" t="s">
        <v>115</v>
      </c>
      <c r="C343" t="s">
        <v>8</v>
      </c>
      <c r="D343">
        <v>93</v>
      </c>
      <c r="E343">
        <v>100</v>
      </c>
      <c r="F343">
        <v>7</v>
      </c>
      <c r="G343">
        <v>7.5</v>
      </c>
    </row>
    <row r="344" spans="1:7" x14ac:dyDescent="0.35">
      <c r="A344" t="s">
        <v>93</v>
      </c>
      <c r="B344" t="s">
        <v>115</v>
      </c>
      <c r="C344" t="s">
        <v>8</v>
      </c>
      <c r="D344">
        <v>88</v>
      </c>
      <c r="E344">
        <v>107</v>
      </c>
      <c r="F344">
        <v>19</v>
      </c>
      <c r="G344">
        <v>21.6</v>
      </c>
    </row>
    <row r="345" spans="1:7" x14ac:dyDescent="0.35">
      <c r="A345" t="s">
        <v>94</v>
      </c>
      <c r="B345" t="s">
        <v>115</v>
      </c>
      <c r="C345" t="s">
        <v>8</v>
      </c>
      <c r="D345">
        <v>97</v>
      </c>
      <c r="E345">
        <v>96</v>
      </c>
      <c r="F345">
        <v>-1</v>
      </c>
      <c r="G345">
        <v>-1</v>
      </c>
    </row>
    <row r="346" spans="1:7" x14ac:dyDescent="0.35">
      <c r="A346" t="s">
        <v>95</v>
      </c>
      <c r="B346" t="s">
        <v>115</v>
      </c>
      <c r="C346" t="s">
        <v>8</v>
      </c>
      <c r="D346">
        <v>86</v>
      </c>
      <c r="E346">
        <v>69</v>
      </c>
      <c r="F346">
        <v>-17</v>
      </c>
      <c r="G346">
        <v>-19.8</v>
      </c>
    </row>
    <row r="347" spans="1:7" x14ac:dyDescent="0.35">
      <c r="A347" t="s">
        <v>96</v>
      </c>
      <c r="B347" t="s">
        <v>115</v>
      </c>
      <c r="C347" t="s">
        <v>8</v>
      </c>
      <c r="D347">
        <v>96</v>
      </c>
      <c r="E347">
        <v>90</v>
      </c>
      <c r="F347">
        <v>-6</v>
      </c>
      <c r="G347">
        <v>-6.2</v>
      </c>
    </row>
    <row r="348" spans="1:7" x14ac:dyDescent="0.35">
      <c r="A348" t="s">
        <v>97</v>
      </c>
      <c r="B348" t="s">
        <v>115</v>
      </c>
      <c r="C348" t="s">
        <v>8</v>
      </c>
      <c r="D348">
        <v>96</v>
      </c>
      <c r="E348">
        <v>113</v>
      </c>
      <c r="F348">
        <v>17</v>
      </c>
      <c r="G348">
        <v>17.7</v>
      </c>
    </row>
    <row r="349" spans="1:7" x14ac:dyDescent="0.35">
      <c r="A349" t="s">
        <v>98</v>
      </c>
      <c r="B349" t="s">
        <v>115</v>
      </c>
      <c r="C349" t="s">
        <v>8</v>
      </c>
      <c r="D349">
        <v>89</v>
      </c>
      <c r="E349">
        <v>99</v>
      </c>
      <c r="F349">
        <v>10</v>
      </c>
      <c r="G349">
        <v>11.2</v>
      </c>
    </row>
    <row r="350" spans="1:7" x14ac:dyDescent="0.35">
      <c r="A350" t="s">
        <v>99</v>
      </c>
      <c r="B350" t="s">
        <v>115</v>
      </c>
      <c r="C350" t="s">
        <v>8</v>
      </c>
      <c r="D350">
        <v>99</v>
      </c>
      <c r="E350">
        <v>96</v>
      </c>
      <c r="F350">
        <v>-3</v>
      </c>
      <c r="G350">
        <v>-3</v>
      </c>
    </row>
    <row r="351" spans="1:7" x14ac:dyDescent="0.35">
      <c r="A351" t="s">
        <v>100</v>
      </c>
      <c r="B351" t="s">
        <v>115</v>
      </c>
      <c r="C351" t="s">
        <v>8</v>
      </c>
      <c r="D351">
        <v>90</v>
      </c>
      <c r="E351">
        <v>90</v>
      </c>
      <c r="F351">
        <v>0</v>
      </c>
      <c r="G351">
        <v>0</v>
      </c>
    </row>
    <row r="352" spans="1:7" x14ac:dyDescent="0.35">
      <c r="A352" t="s">
        <v>101</v>
      </c>
      <c r="B352" t="s">
        <v>115</v>
      </c>
      <c r="C352" t="s">
        <v>8</v>
      </c>
      <c r="D352">
        <v>96</v>
      </c>
      <c r="E352">
        <v>108</v>
      </c>
      <c r="F352">
        <v>12</v>
      </c>
      <c r="G352">
        <v>12.5</v>
      </c>
    </row>
    <row r="353" spans="1:7" x14ac:dyDescent="0.35">
      <c r="A353" t="s">
        <v>102</v>
      </c>
      <c r="B353" t="s">
        <v>115</v>
      </c>
      <c r="C353" t="s">
        <v>8</v>
      </c>
      <c r="D353">
        <v>108</v>
      </c>
      <c r="E353">
        <v>92</v>
      </c>
      <c r="F353">
        <v>-16</v>
      </c>
      <c r="G353">
        <v>-14.8</v>
      </c>
    </row>
    <row r="354" spans="1:7" x14ac:dyDescent="0.35">
      <c r="A354" t="s">
        <v>103</v>
      </c>
      <c r="B354" t="s">
        <v>115</v>
      </c>
      <c r="C354" t="s">
        <v>8</v>
      </c>
      <c r="D354">
        <v>106</v>
      </c>
      <c r="E354">
        <v>92</v>
      </c>
      <c r="F354">
        <v>-14</v>
      </c>
      <c r="G354">
        <v>-13.2</v>
      </c>
    </row>
    <row r="355" spans="1:7" x14ac:dyDescent="0.35">
      <c r="A355" t="s">
        <v>104</v>
      </c>
      <c r="B355" t="s">
        <v>115</v>
      </c>
      <c r="C355" t="s">
        <v>8</v>
      </c>
      <c r="D355">
        <v>112</v>
      </c>
      <c r="E355">
        <v>119</v>
      </c>
      <c r="F355">
        <v>7</v>
      </c>
      <c r="G355">
        <v>6.2</v>
      </c>
    </row>
    <row r="356" spans="1:7" x14ac:dyDescent="0.35">
      <c r="A356" t="s">
        <v>105</v>
      </c>
      <c r="B356" t="s">
        <v>115</v>
      </c>
      <c r="C356" t="s">
        <v>8</v>
      </c>
      <c r="D356">
        <v>104</v>
      </c>
      <c r="E356">
        <v>100</v>
      </c>
      <c r="F356">
        <v>-4</v>
      </c>
      <c r="G356">
        <v>-3.8</v>
      </c>
    </row>
    <row r="357" spans="1:7" x14ac:dyDescent="0.35">
      <c r="A357" t="s">
        <v>106</v>
      </c>
      <c r="B357" t="s">
        <v>115</v>
      </c>
      <c r="C357" t="s">
        <v>8</v>
      </c>
      <c r="D357">
        <v>99</v>
      </c>
      <c r="E357">
        <v>93</v>
      </c>
      <c r="F357">
        <v>-6</v>
      </c>
      <c r="G357">
        <v>-6.1</v>
      </c>
    </row>
    <row r="358" spans="1:7" x14ac:dyDescent="0.35">
      <c r="A358" t="s">
        <v>107</v>
      </c>
      <c r="B358" t="s">
        <v>115</v>
      </c>
      <c r="C358" t="s">
        <v>8</v>
      </c>
      <c r="D358">
        <v>112</v>
      </c>
      <c r="E358">
        <v>98</v>
      </c>
      <c r="F358">
        <v>-14</v>
      </c>
      <c r="G358">
        <v>-12.5</v>
      </c>
    </row>
    <row r="359" spans="1:7" x14ac:dyDescent="0.35">
      <c r="A359" t="s">
        <v>108</v>
      </c>
      <c r="B359" t="s">
        <v>115</v>
      </c>
      <c r="C359" t="s">
        <v>8</v>
      </c>
      <c r="D359">
        <v>103</v>
      </c>
      <c r="E359">
        <v>128</v>
      </c>
      <c r="F359">
        <v>25</v>
      </c>
      <c r="G359">
        <v>24.3</v>
      </c>
    </row>
    <row r="360" spans="1:7" x14ac:dyDescent="0.35">
      <c r="A360" t="s">
        <v>109</v>
      </c>
      <c r="B360" t="s">
        <v>115</v>
      </c>
      <c r="C360" t="s">
        <v>8</v>
      </c>
      <c r="D360">
        <v>106</v>
      </c>
      <c r="E360">
        <v>105</v>
      </c>
      <c r="F360">
        <v>-1</v>
      </c>
      <c r="G360">
        <v>-0.9</v>
      </c>
    </row>
    <row r="361" spans="1:7" x14ac:dyDescent="0.35">
      <c r="A361" t="s">
        <v>110</v>
      </c>
      <c r="B361" t="s">
        <v>115</v>
      </c>
      <c r="C361" t="s">
        <v>8</v>
      </c>
      <c r="D361">
        <v>101</v>
      </c>
      <c r="E361">
        <v>86</v>
      </c>
      <c r="F361">
        <v>-15</v>
      </c>
      <c r="G361">
        <v>-14.9</v>
      </c>
    </row>
    <row r="362" spans="1:7" x14ac:dyDescent="0.35">
      <c r="A362" t="s">
        <v>111</v>
      </c>
      <c r="B362" t="s">
        <v>115</v>
      </c>
      <c r="C362" t="s">
        <v>8</v>
      </c>
      <c r="D362">
        <v>100</v>
      </c>
      <c r="E362">
        <v>116</v>
      </c>
      <c r="F362">
        <v>16</v>
      </c>
      <c r="G362">
        <v>16</v>
      </c>
    </row>
    <row r="363" spans="1:7" x14ac:dyDescent="0.35">
      <c r="A363" t="s">
        <v>112</v>
      </c>
      <c r="B363" t="s">
        <v>115</v>
      </c>
      <c r="C363" t="s">
        <v>8</v>
      </c>
      <c r="D363">
        <v>105</v>
      </c>
      <c r="E363">
        <v>116</v>
      </c>
      <c r="F363">
        <v>11</v>
      </c>
      <c r="G363">
        <v>10.5</v>
      </c>
    </row>
    <row r="364" spans="1:7" x14ac:dyDescent="0.35">
      <c r="A364" t="s">
        <v>113</v>
      </c>
      <c r="B364" t="s">
        <v>115</v>
      </c>
      <c r="C364" t="s">
        <v>8</v>
      </c>
      <c r="D364">
        <v>96</v>
      </c>
      <c r="E364">
        <v>105</v>
      </c>
      <c r="F364">
        <v>9</v>
      </c>
      <c r="G364">
        <v>9.4</v>
      </c>
    </row>
    <row r="365" spans="1:7" x14ac:dyDescent="0.35">
      <c r="A365" t="s">
        <v>114</v>
      </c>
      <c r="B365" t="s">
        <v>115</v>
      </c>
      <c r="C365" t="s">
        <v>8</v>
      </c>
      <c r="D365">
        <v>111</v>
      </c>
      <c r="E365">
        <v>99</v>
      </c>
      <c r="F365">
        <v>-12</v>
      </c>
      <c r="G365">
        <v>-10.8</v>
      </c>
    </row>
    <row r="366" spans="1:7" x14ac:dyDescent="0.35">
      <c r="A366" t="s">
        <v>62</v>
      </c>
      <c r="B366" t="s">
        <v>115</v>
      </c>
      <c r="C366" t="s">
        <v>14</v>
      </c>
      <c r="D366">
        <v>60</v>
      </c>
      <c r="E366">
        <v>81</v>
      </c>
      <c r="F366">
        <v>21</v>
      </c>
      <c r="G366">
        <v>35</v>
      </c>
    </row>
    <row r="367" spans="1:7" x14ac:dyDescent="0.35">
      <c r="A367" t="s">
        <v>64</v>
      </c>
      <c r="B367" t="s">
        <v>115</v>
      </c>
      <c r="C367" t="s">
        <v>14</v>
      </c>
      <c r="D367">
        <v>69</v>
      </c>
      <c r="E367">
        <v>59</v>
      </c>
      <c r="F367">
        <v>-10</v>
      </c>
      <c r="G367">
        <v>-14.5</v>
      </c>
    </row>
    <row r="368" spans="1:7" x14ac:dyDescent="0.35">
      <c r="A368" t="s">
        <v>65</v>
      </c>
      <c r="B368" t="s">
        <v>115</v>
      </c>
      <c r="C368" t="s">
        <v>14</v>
      </c>
      <c r="D368">
        <v>65</v>
      </c>
      <c r="E368">
        <v>72</v>
      </c>
      <c r="F368">
        <v>7</v>
      </c>
      <c r="G368">
        <v>10.8</v>
      </c>
    </row>
    <row r="369" spans="1:7" x14ac:dyDescent="0.35">
      <c r="A369" t="s">
        <v>66</v>
      </c>
      <c r="B369" t="s">
        <v>115</v>
      </c>
      <c r="C369" t="s">
        <v>14</v>
      </c>
      <c r="D369">
        <v>73</v>
      </c>
      <c r="E369">
        <v>58</v>
      </c>
      <c r="F369">
        <v>-15</v>
      </c>
      <c r="G369">
        <v>-20.5</v>
      </c>
    </row>
    <row r="370" spans="1:7" x14ac:dyDescent="0.35">
      <c r="A370" t="s">
        <v>67</v>
      </c>
      <c r="B370" t="s">
        <v>115</v>
      </c>
      <c r="C370" t="s">
        <v>14</v>
      </c>
      <c r="D370">
        <v>82</v>
      </c>
      <c r="E370">
        <v>91</v>
      </c>
      <c r="F370">
        <v>9</v>
      </c>
      <c r="G370">
        <v>11</v>
      </c>
    </row>
    <row r="371" spans="1:7" x14ac:dyDescent="0.35">
      <c r="A371" t="s">
        <v>68</v>
      </c>
      <c r="B371" t="s">
        <v>115</v>
      </c>
      <c r="C371" t="s">
        <v>14</v>
      </c>
      <c r="D371">
        <v>77</v>
      </c>
      <c r="E371">
        <v>63</v>
      </c>
      <c r="F371">
        <v>-14</v>
      </c>
      <c r="G371">
        <v>-18.2</v>
      </c>
    </row>
    <row r="372" spans="1:7" x14ac:dyDescent="0.35">
      <c r="A372" t="s">
        <v>69</v>
      </c>
      <c r="B372" t="s">
        <v>115</v>
      </c>
      <c r="C372" t="s">
        <v>14</v>
      </c>
      <c r="D372">
        <v>85</v>
      </c>
      <c r="E372">
        <v>80</v>
      </c>
      <c r="F372">
        <v>-5</v>
      </c>
      <c r="G372">
        <v>-5.9</v>
      </c>
    </row>
    <row r="373" spans="1:7" x14ac:dyDescent="0.35">
      <c r="A373" t="s">
        <v>70</v>
      </c>
      <c r="B373" t="s">
        <v>115</v>
      </c>
      <c r="C373" t="s">
        <v>14</v>
      </c>
      <c r="D373">
        <v>86</v>
      </c>
      <c r="E373">
        <v>83</v>
      </c>
      <c r="F373">
        <v>-3</v>
      </c>
      <c r="G373">
        <v>-3.5</v>
      </c>
    </row>
    <row r="374" spans="1:7" x14ac:dyDescent="0.35">
      <c r="A374" t="s">
        <v>71</v>
      </c>
      <c r="B374" t="s">
        <v>115</v>
      </c>
      <c r="C374" t="s">
        <v>14</v>
      </c>
      <c r="D374">
        <v>81</v>
      </c>
      <c r="E374">
        <v>99</v>
      </c>
      <c r="F374">
        <v>18</v>
      </c>
      <c r="G374">
        <v>22.2</v>
      </c>
    </row>
    <row r="375" spans="1:7" x14ac:dyDescent="0.35">
      <c r="A375" t="s">
        <v>72</v>
      </c>
      <c r="B375" t="s">
        <v>115</v>
      </c>
      <c r="C375" t="s">
        <v>14</v>
      </c>
      <c r="D375">
        <v>96</v>
      </c>
      <c r="E375">
        <v>76</v>
      </c>
      <c r="F375">
        <v>-20</v>
      </c>
      <c r="G375">
        <v>-20.8</v>
      </c>
    </row>
    <row r="376" spans="1:7" x14ac:dyDescent="0.35">
      <c r="A376" t="s">
        <v>73</v>
      </c>
      <c r="B376" t="s">
        <v>115</v>
      </c>
      <c r="C376" t="s">
        <v>14</v>
      </c>
      <c r="D376">
        <v>91</v>
      </c>
      <c r="E376">
        <v>84</v>
      </c>
      <c r="F376">
        <v>-7</v>
      </c>
      <c r="G376">
        <v>-7.7</v>
      </c>
    </row>
    <row r="377" spans="1:7" x14ac:dyDescent="0.35">
      <c r="A377" t="s">
        <v>74</v>
      </c>
      <c r="B377" t="s">
        <v>115</v>
      </c>
      <c r="C377" t="s">
        <v>14</v>
      </c>
      <c r="D377">
        <v>100</v>
      </c>
      <c r="E377">
        <v>93</v>
      </c>
      <c r="F377">
        <v>-7</v>
      </c>
      <c r="G377">
        <v>-7</v>
      </c>
    </row>
    <row r="378" spans="1:7" x14ac:dyDescent="0.35">
      <c r="A378" t="s">
        <v>75</v>
      </c>
      <c r="B378" t="s">
        <v>115</v>
      </c>
      <c r="C378" t="s">
        <v>14</v>
      </c>
      <c r="D378">
        <v>102</v>
      </c>
      <c r="E378">
        <v>112</v>
      </c>
      <c r="F378">
        <v>10</v>
      </c>
      <c r="G378">
        <v>9.8000000000000007</v>
      </c>
    </row>
    <row r="379" spans="1:7" x14ac:dyDescent="0.35">
      <c r="A379" t="s">
        <v>76</v>
      </c>
      <c r="B379" t="s">
        <v>115</v>
      </c>
      <c r="C379" t="s">
        <v>14</v>
      </c>
      <c r="D379">
        <v>93</v>
      </c>
      <c r="E379">
        <v>111</v>
      </c>
      <c r="F379">
        <v>18</v>
      </c>
      <c r="G379">
        <v>19.399999999999999</v>
      </c>
    </row>
    <row r="380" spans="1:7" x14ac:dyDescent="0.35">
      <c r="A380" t="s">
        <v>77</v>
      </c>
      <c r="B380" t="s">
        <v>115</v>
      </c>
      <c r="C380" t="s">
        <v>14</v>
      </c>
      <c r="D380">
        <v>98</v>
      </c>
      <c r="E380">
        <v>121</v>
      </c>
      <c r="F380">
        <v>23</v>
      </c>
      <c r="G380">
        <v>23.5</v>
      </c>
    </row>
    <row r="381" spans="1:7" x14ac:dyDescent="0.35">
      <c r="A381" t="s">
        <v>78</v>
      </c>
      <c r="B381" t="s">
        <v>115</v>
      </c>
      <c r="C381" t="s">
        <v>14</v>
      </c>
      <c r="D381">
        <v>102</v>
      </c>
      <c r="E381">
        <v>118</v>
      </c>
      <c r="F381">
        <v>16</v>
      </c>
      <c r="G381">
        <v>15.7</v>
      </c>
    </row>
    <row r="382" spans="1:7" x14ac:dyDescent="0.35">
      <c r="A382" t="s">
        <v>79</v>
      </c>
      <c r="B382" t="s">
        <v>115</v>
      </c>
      <c r="C382" t="s">
        <v>14</v>
      </c>
      <c r="D382">
        <v>100</v>
      </c>
      <c r="E382">
        <v>94</v>
      </c>
      <c r="F382">
        <v>-6</v>
      </c>
      <c r="G382">
        <v>-6</v>
      </c>
    </row>
    <row r="383" spans="1:7" x14ac:dyDescent="0.35">
      <c r="A383" t="s">
        <v>80</v>
      </c>
      <c r="B383" t="s">
        <v>115</v>
      </c>
      <c r="C383" t="s">
        <v>14</v>
      </c>
      <c r="D383">
        <v>109</v>
      </c>
      <c r="E383">
        <v>134</v>
      </c>
      <c r="F383">
        <v>25</v>
      </c>
      <c r="G383">
        <v>22.9</v>
      </c>
    </row>
    <row r="384" spans="1:7" x14ac:dyDescent="0.35">
      <c r="A384" t="s">
        <v>81</v>
      </c>
      <c r="B384" t="s">
        <v>115</v>
      </c>
      <c r="C384" t="s">
        <v>14</v>
      </c>
      <c r="D384">
        <v>109</v>
      </c>
      <c r="E384">
        <v>90</v>
      </c>
      <c r="F384">
        <v>-19</v>
      </c>
      <c r="G384">
        <v>-17.399999999999999</v>
      </c>
    </row>
    <row r="385" spans="1:7" x14ac:dyDescent="0.35">
      <c r="A385" t="s">
        <v>82</v>
      </c>
      <c r="B385" t="s">
        <v>115</v>
      </c>
      <c r="C385" t="s">
        <v>14</v>
      </c>
      <c r="D385">
        <v>113</v>
      </c>
      <c r="E385">
        <v>103</v>
      </c>
      <c r="F385">
        <v>-10</v>
      </c>
      <c r="G385">
        <v>-8.8000000000000007</v>
      </c>
    </row>
    <row r="386" spans="1:7" x14ac:dyDescent="0.35">
      <c r="A386" t="s">
        <v>83</v>
      </c>
      <c r="B386" t="s">
        <v>115</v>
      </c>
      <c r="C386" t="s">
        <v>14</v>
      </c>
      <c r="D386">
        <v>115</v>
      </c>
      <c r="E386">
        <v>52</v>
      </c>
      <c r="F386">
        <v>-63</v>
      </c>
      <c r="G386">
        <v>-54.8</v>
      </c>
    </row>
    <row r="387" spans="1:7" x14ac:dyDescent="0.35">
      <c r="A387" t="s">
        <v>84</v>
      </c>
      <c r="B387" t="s">
        <v>115</v>
      </c>
      <c r="C387" t="s">
        <v>14</v>
      </c>
      <c r="D387">
        <v>116</v>
      </c>
      <c r="E387">
        <v>47</v>
      </c>
      <c r="F387">
        <v>-69</v>
      </c>
      <c r="G387">
        <v>-59.5</v>
      </c>
    </row>
    <row r="388" spans="1:7" x14ac:dyDescent="0.35">
      <c r="A388" t="s">
        <v>85</v>
      </c>
      <c r="B388" t="s">
        <v>115</v>
      </c>
      <c r="C388" t="s">
        <v>14</v>
      </c>
      <c r="D388">
        <v>112</v>
      </c>
      <c r="E388">
        <v>58</v>
      </c>
      <c r="F388">
        <v>-54</v>
      </c>
      <c r="G388">
        <v>-48.2</v>
      </c>
    </row>
    <row r="389" spans="1:7" x14ac:dyDescent="0.35">
      <c r="A389" t="s">
        <v>86</v>
      </c>
      <c r="B389" t="s">
        <v>115</v>
      </c>
      <c r="C389" t="s">
        <v>14</v>
      </c>
      <c r="D389">
        <v>123</v>
      </c>
      <c r="E389">
        <v>47</v>
      </c>
      <c r="F389">
        <v>-76</v>
      </c>
      <c r="G389">
        <v>-61.8</v>
      </c>
    </row>
    <row r="390" spans="1:7" x14ac:dyDescent="0.35">
      <c r="A390" t="s">
        <v>87</v>
      </c>
      <c r="B390" t="s">
        <v>115</v>
      </c>
      <c r="C390" t="s">
        <v>14</v>
      </c>
      <c r="D390">
        <v>131</v>
      </c>
      <c r="E390">
        <v>43</v>
      </c>
      <c r="F390">
        <v>-88</v>
      </c>
      <c r="G390">
        <v>-67.2</v>
      </c>
    </row>
    <row r="391" spans="1:7" x14ac:dyDescent="0.35">
      <c r="A391" t="s">
        <v>88</v>
      </c>
      <c r="B391" t="s">
        <v>115</v>
      </c>
      <c r="C391" t="s">
        <v>14</v>
      </c>
      <c r="D391">
        <v>133</v>
      </c>
      <c r="E391">
        <v>140</v>
      </c>
      <c r="F391">
        <v>7</v>
      </c>
      <c r="G391">
        <v>5.3</v>
      </c>
    </row>
    <row r="392" spans="1:7" x14ac:dyDescent="0.35">
      <c r="A392" t="s">
        <v>89</v>
      </c>
      <c r="B392" t="s">
        <v>115</v>
      </c>
      <c r="C392" t="s">
        <v>14</v>
      </c>
      <c r="D392">
        <v>137</v>
      </c>
      <c r="E392">
        <v>122</v>
      </c>
      <c r="F392">
        <v>-15</v>
      </c>
      <c r="G392">
        <v>-10.9</v>
      </c>
    </row>
    <row r="393" spans="1:7" x14ac:dyDescent="0.35">
      <c r="A393" t="s">
        <v>90</v>
      </c>
      <c r="B393" t="s">
        <v>115</v>
      </c>
      <c r="C393" t="s">
        <v>14</v>
      </c>
      <c r="D393">
        <v>136</v>
      </c>
      <c r="E393">
        <v>153</v>
      </c>
      <c r="F393">
        <v>17</v>
      </c>
      <c r="G393">
        <v>12.5</v>
      </c>
    </row>
    <row r="394" spans="1:7" x14ac:dyDescent="0.35">
      <c r="A394" t="s">
        <v>91</v>
      </c>
      <c r="B394" t="s">
        <v>115</v>
      </c>
      <c r="C394" t="s">
        <v>14</v>
      </c>
      <c r="D394">
        <v>147</v>
      </c>
      <c r="E394">
        <v>134</v>
      </c>
      <c r="F394">
        <v>-13</v>
      </c>
      <c r="G394">
        <v>-8.8000000000000007</v>
      </c>
    </row>
    <row r="395" spans="1:7" x14ac:dyDescent="0.35">
      <c r="A395" t="s">
        <v>92</v>
      </c>
      <c r="B395" t="s">
        <v>115</v>
      </c>
      <c r="C395" t="s">
        <v>14</v>
      </c>
      <c r="D395">
        <v>124</v>
      </c>
      <c r="E395">
        <v>137</v>
      </c>
      <c r="F395">
        <v>13</v>
      </c>
      <c r="G395">
        <v>10.5</v>
      </c>
    </row>
    <row r="396" spans="1:7" x14ac:dyDescent="0.35">
      <c r="A396" t="s">
        <v>93</v>
      </c>
      <c r="B396" t="s">
        <v>115</v>
      </c>
      <c r="C396" t="s">
        <v>14</v>
      </c>
      <c r="D396">
        <v>141</v>
      </c>
      <c r="E396">
        <v>165</v>
      </c>
      <c r="F396">
        <v>24</v>
      </c>
      <c r="G396">
        <v>17</v>
      </c>
    </row>
    <row r="397" spans="1:7" x14ac:dyDescent="0.35">
      <c r="A397" t="s">
        <v>94</v>
      </c>
      <c r="B397" t="s">
        <v>115</v>
      </c>
      <c r="C397" t="s">
        <v>14</v>
      </c>
      <c r="D397">
        <v>152</v>
      </c>
      <c r="E397">
        <v>137</v>
      </c>
      <c r="F397">
        <v>-15</v>
      </c>
      <c r="G397">
        <v>-9.9</v>
      </c>
    </row>
    <row r="398" spans="1:7" x14ac:dyDescent="0.35">
      <c r="A398" t="s">
        <v>95</v>
      </c>
      <c r="B398" t="s">
        <v>115</v>
      </c>
      <c r="C398" t="s">
        <v>14</v>
      </c>
      <c r="D398">
        <v>145</v>
      </c>
      <c r="E398">
        <v>141</v>
      </c>
      <c r="F398">
        <v>-4</v>
      </c>
      <c r="G398">
        <v>-2.8</v>
      </c>
    </row>
    <row r="399" spans="1:7" x14ac:dyDescent="0.35">
      <c r="A399" t="s">
        <v>96</v>
      </c>
      <c r="B399" t="s">
        <v>115</v>
      </c>
      <c r="C399" t="s">
        <v>14</v>
      </c>
      <c r="D399">
        <v>153</v>
      </c>
      <c r="E399">
        <v>140</v>
      </c>
      <c r="F399">
        <v>-13</v>
      </c>
      <c r="G399">
        <v>-8.5</v>
      </c>
    </row>
    <row r="400" spans="1:7" x14ac:dyDescent="0.35">
      <c r="A400" t="s">
        <v>97</v>
      </c>
      <c r="B400" t="s">
        <v>115</v>
      </c>
      <c r="C400" t="s">
        <v>14</v>
      </c>
      <c r="D400">
        <v>153</v>
      </c>
      <c r="E400">
        <v>123</v>
      </c>
      <c r="F400">
        <v>-30</v>
      </c>
      <c r="G400">
        <v>-19.600000000000001</v>
      </c>
    </row>
    <row r="401" spans="1:7" x14ac:dyDescent="0.35">
      <c r="A401" t="s">
        <v>98</v>
      </c>
      <c r="B401" t="s">
        <v>115</v>
      </c>
      <c r="C401" t="s">
        <v>14</v>
      </c>
      <c r="D401">
        <v>150</v>
      </c>
      <c r="E401">
        <v>187</v>
      </c>
      <c r="F401">
        <v>37</v>
      </c>
      <c r="G401">
        <v>24.7</v>
      </c>
    </row>
    <row r="402" spans="1:7" x14ac:dyDescent="0.35">
      <c r="A402" t="s">
        <v>99</v>
      </c>
      <c r="B402" t="s">
        <v>115</v>
      </c>
      <c r="C402" t="s">
        <v>14</v>
      </c>
      <c r="D402">
        <v>149</v>
      </c>
      <c r="E402">
        <v>169</v>
      </c>
      <c r="F402">
        <v>20</v>
      </c>
      <c r="G402">
        <v>13.4</v>
      </c>
    </row>
    <row r="403" spans="1:7" x14ac:dyDescent="0.35">
      <c r="A403" t="s">
        <v>100</v>
      </c>
      <c r="B403" t="s">
        <v>115</v>
      </c>
      <c r="C403" t="s">
        <v>14</v>
      </c>
      <c r="D403">
        <v>161</v>
      </c>
      <c r="E403">
        <v>184</v>
      </c>
      <c r="F403">
        <v>23</v>
      </c>
      <c r="G403">
        <v>14.3</v>
      </c>
    </row>
    <row r="404" spans="1:7" x14ac:dyDescent="0.35">
      <c r="A404" t="s">
        <v>101</v>
      </c>
      <c r="B404" t="s">
        <v>115</v>
      </c>
      <c r="C404" t="s">
        <v>14</v>
      </c>
      <c r="D404">
        <v>170</v>
      </c>
      <c r="E404">
        <v>187</v>
      </c>
      <c r="F404">
        <v>17</v>
      </c>
      <c r="G404">
        <v>10</v>
      </c>
    </row>
    <row r="405" spans="1:7" x14ac:dyDescent="0.35">
      <c r="A405" t="s">
        <v>102</v>
      </c>
      <c r="B405" t="s">
        <v>115</v>
      </c>
      <c r="C405" t="s">
        <v>14</v>
      </c>
      <c r="D405">
        <v>157</v>
      </c>
      <c r="E405">
        <v>146</v>
      </c>
      <c r="F405">
        <v>-11</v>
      </c>
      <c r="G405">
        <v>-7</v>
      </c>
    </row>
    <row r="406" spans="1:7" x14ac:dyDescent="0.35">
      <c r="A406" t="s">
        <v>103</v>
      </c>
      <c r="B406" t="s">
        <v>115</v>
      </c>
      <c r="C406" t="s">
        <v>14</v>
      </c>
      <c r="D406">
        <v>171</v>
      </c>
      <c r="E406">
        <v>185</v>
      </c>
      <c r="F406">
        <v>14</v>
      </c>
      <c r="G406">
        <v>8.1999999999999993</v>
      </c>
    </row>
    <row r="407" spans="1:7" x14ac:dyDescent="0.35">
      <c r="A407" t="s">
        <v>104</v>
      </c>
      <c r="B407" t="s">
        <v>115</v>
      </c>
      <c r="C407" t="s">
        <v>14</v>
      </c>
      <c r="D407">
        <v>176</v>
      </c>
      <c r="E407">
        <v>125</v>
      </c>
      <c r="F407">
        <v>-51</v>
      </c>
      <c r="G407">
        <v>-29</v>
      </c>
    </row>
    <row r="408" spans="1:7" x14ac:dyDescent="0.35">
      <c r="A408" t="s">
        <v>105</v>
      </c>
      <c r="B408" t="s">
        <v>115</v>
      </c>
      <c r="C408" t="s">
        <v>14</v>
      </c>
      <c r="D408">
        <v>149</v>
      </c>
      <c r="E408">
        <v>174</v>
      </c>
      <c r="F408">
        <v>25</v>
      </c>
      <c r="G408">
        <v>16.8</v>
      </c>
    </row>
    <row r="409" spans="1:7" x14ac:dyDescent="0.35">
      <c r="A409" t="s">
        <v>106</v>
      </c>
      <c r="B409" t="s">
        <v>115</v>
      </c>
      <c r="C409" t="s">
        <v>14</v>
      </c>
      <c r="D409">
        <v>177</v>
      </c>
      <c r="E409">
        <v>204</v>
      </c>
      <c r="F409">
        <v>27</v>
      </c>
      <c r="G409">
        <v>15.3</v>
      </c>
    </row>
    <row r="410" spans="1:7" x14ac:dyDescent="0.35">
      <c r="A410" t="s">
        <v>107</v>
      </c>
      <c r="B410" t="s">
        <v>115</v>
      </c>
      <c r="C410" t="s">
        <v>14</v>
      </c>
      <c r="D410">
        <v>172</v>
      </c>
      <c r="E410">
        <v>158</v>
      </c>
      <c r="F410">
        <v>-14</v>
      </c>
      <c r="G410">
        <v>-8.1</v>
      </c>
    </row>
    <row r="411" spans="1:7" x14ac:dyDescent="0.35">
      <c r="A411" t="s">
        <v>108</v>
      </c>
      <c r="B411" t="s">
        <v>115</v>
      </c>
      <c r="C411" t="s">
        <v>14</v>
      </c>
      <c r="D411">
        <v>150</v>
      </c>
      <c r="E411">
        <v>174</v>
      </c>
      <c r="F411">
        <v>24</v>
      </c>
      <c r="G411">
        <v>16</v>
      </c>
    </row>
    <row r="412" spans="1:7" x14ac:dyDescent="0.35">
      <c r="A412" t="s">
        <v>109</v>
      </c>
      <c r="B412" t="s">
        <v>115</v>
      </c>
      <c r="C412" t="s">
        <v>14</v>
      </c>
      <c r="D412">
        <v>176</v>
      </c>
      <c r="E412">
        <v>159</v>
      </c>
      <c r="F412">
        <v>-17</v>
      </c>
      <c r="G412">
        <v>-9.6999999999999993</v>
      </c>
    </row>
    <row r="413" spans="1:7" x14ac:dyDescent="0.35">
      <c r="A413" t="s">
        <v>110</v>
      </c>
      <c r="B413" t="s">
        <v>115</v>
      </c>
      <c r="C413" t="s">
        <v>14</v>
      </c>
      <c r="D413">
        <v>170</v>
      </c>
      <c r="E413">
        <v>197</v>
      </c>
      <c r="F413">
        <v>27</v>
      </c>
      <c r="G413">
        <v>15.9</v>
      </c>
    </row>
    <row r="414" spans="1:7" x14ac:dyDescent="0.35">
      <c r="A414" t="s">
        <v>111</v>
      </c>
      <c r="B414" t="s">
        <v>115</v>
      </c>
      <c r="C414" t="s">
        <v>14</v>
      </c>
      <c r="D414">
        <v>149</v>
      </c>
      <c r="E414">
        <v>188</v>
      </c>
      <c r="F414">
        <v>39</v>
      </c>
      <c r="G414">
        <v>26.2</v>
      </c>
    </row>
    <row r="415" spans="1:7" x14ac:dyDescent="0.35">
      <c r="A415" t="s">
        <v>112</v>
      </c>
      <c r="B415" t="s">
        <v>115</v>
      </c>
      <c r="C415" t="s">
        <v>14</v>
      </c>
      <c r="D415">
        <v>157</v>
      </c>
      <c r="E415">
        <v>153</v>
      </c>
      <c r="F415">
        <v>-4</v>
      </c>
      <c r="G415">
        <v>-2.5</v>
      </c>
    </row>
    <row r="416" spans="1:7" x14ac:dyDescent="0.35">
      <c r="A416" t="s">
        <v>113</v>
      </c>
      <c r="B416" t="s">
        <v>115</v>
      </c>
      <c r="C416" t="s">
        <v>14</v>
      </c>
      <c r="D416">
        <v>152</v>
      </c>
      <c r="E416">
        <v>166</v>
      </c>
      <c r="F416">
        <v>14</v>
      </c>
      <c r="G416">
        <v>9.1999999999999993</v>
      </c>
    </row>
    <row r="417" spans="1:7" x14ac:dyDescent="0.35">
      <c r="A417" t="s">
        <v>114</v>
      </c>
      <c r="B417" t="s">
        <v>115</v>
      </c>
      <c r="C417" t="s">
        <v>14</v>
      </c>
      <c r="D417">
        <v>166</v>
      </c>
      <c r="E417">
        <v>187</v>
      </c>
      <c r="F417">
        <v>21</v>
      </c>
      <c r="G417">
        <v>12.7</v>
      </c>
    </row>
    <row r="418" spans="1:7" x14ac:dyDescent="0.35">
      <c r="A418" t="s">
        <v>62</v>
      </c>
      <c r="B418" t="s">
        <v>115</v>
      </c>
      <c r="C418" t="s">
        <v>22</v>
      </c>
      <c r="D418">
        <v>31</v>
      </c>
      <c r="E418">
        <v>35</v>
      </c>
      <c r="F418">
        <v>4</v>
      </c>
      <c r="G418">
        <v>12.9</v>
      </c>
    </row>
    <row r="419" spans="1:7" x14ac:dyDescent="0.35">
      <c r="A419" t="s">
        <v>64</v>
      </c>
      <c r="B419" t="s">
        <v>115</v>
      </c>
      <c r="C419" t="s">
        <v>22</v>
      </c>
      <c r="D419">
        <v>33</v>
      </c>
      <c r="E419">
        <v>37</v>
      </c>
      <c r="F419">
        <v>4</v>
      </c>
      <c r="G419">
        <v>12.1</v>
      </c>
    </row>
    <row r="420" spans="1:7" x14ac:dyDescent="0.35">
      <c r="A420" t="s">
        <v>65</v>
      </c>
      <c r="B420" t="s">
        <v>115</v>
      </c>
      <c r="C420" t="s">
        <v>22</v>
      </c>
      <c r="D420">
        <v>35</v>
      </c>
      <c r="E420">
        <v>37</v>
      </c>
      <c r="F420">
        <v>2</v>
      </c>
      <c r="G420">
        <v>5.7</v>
      </c>
    </row>
    <row r="421" spans="1:7" x14ac:dyDescent="0.35">
      <c r="A421" t="s">
        <v>66</v>
      </c>
      <c r="B421" t="s">
        <v>115</v>
      </c>
      <c r="C421" t="s">
        <v>22</v>
      </c>
      <c r="D421">
        <v>34</v>
      </c>
      <c r="E421">
        <v>39</v>
      </c>
      <c r="F421">
        <v>5</v>
      </c>
      <c r="G421">
        <v>14.7</v>
      </c>
    </row>
    <row r="422" spans="1:7" x14ac:dyDescent="0.35">
      <c r="A422" t="s">
        <v>67</v>
      </c>
      <c r="B422" t="s">
        <v>115</v>
      </c>
      <c r="C422" t="s">
        <v>22</v>
      </c>
      <c r="D422">
        <v>37</v>
      </c>
      <c r="E422">
        <v>41</v>
      </c>
      <c r="F422">
        <v>4</v>
      </c>
      <c r="G422">
        <v>10.8</v>
      </c>
    </row>
    <row r="423" spans="1:7" x14ac:dyDescent="0.35">
      <c r="A423" t="s">
        <v>68</v>
      </c>
      <c r="B423" t="s">
        <v>115</v>
      </c>
      <c r="C423" t="s">
        <v>22</v>
      </c>
      <c r="D423">
        <v>42</v>
      </c>
      <c r="E423">
        <v>38</v>
      </c>
      <c r="F423">
        <v>-4</v>
      </c>
      <c r="G423">
        <v>-9.5</v>
      </c>
    </row>
    <row r="424" spans="1:7" x14ac:dyDescent="0.35">
      <c r="A424" t="s">
        <v>69</v>
      </c>
      <c r="B424" t="s">
        <v>115</v>
      </c>
      <c r="C424" t="s">
        <v>22</v>
      </c>
      <c r="D424">
        <v>38</v>
      </c>
      <c r="E424">
        <v>41</v>
      </c>
      <c r="F424">
        <v>3</v>
      </c>
      <c r="G424">
        <v>7.9</v>
      </c>
    </row>
    <row r="425" spans="1:7" x14ac:dyDescent="0.35">
      <c r="A425" t="s">
        <v>70</v>
      </c>
      <c r="B425" t="s">
        <v>115</v>
      </c>
      <c r="C425" t="s">
        <v>22</v>
      </c>
      <c r="D425">
        <v>38</v>
      </c>
      <c r="E425">
        <v>51</v>
      </c>
      <c r="F425">
        <v>13</v>
      </c>
      <c r="G425">
        <v>34.200000000000003</v>
      </c>
    </row>
    <row r="426" spans="1:7" x14ac:dyDescent="0.35">
      <c r="A426" t="s">
        <v>71</v>
      </c>
      <c r="B426" t="s">
        <v>115</v>
      </c>
      <c r="C426" t="s">
        <v>22</v>
      </c>
      <c r="D426">
        <v>47</v>
      </c>
      <c r="E426">
        <v>38</v>
      </c>
      <c r="F426">
        <v>-9</v>
      </c>
      <c r="G426">
        <v>-19.100000000000001</v>
      </c>
    </row>
    <row r="427" spans="1:7" x14ac:dyDescent="0.35">
      <c r="A427" t="s">
        <v>72</v>
      </c>
      <c r="B427" t="s">
        <v>115</v>
      </c>
      <c r="C427" t="s">
        <v>22</v>
      </c>
      <c r="D427">
        <v>48</v>
      </c>
      <c r="E427">
        <v>48</v>
      </c>
      <c r="F427">
        <v>0</v>
      </c>
      <c r="G427">
        <v>0</v>
      </c>
    </row>
    <row r="428" spans="1:7" x14ac:dyDescent="0.35">
      <c r="A428" t="s">
        <v>73</v>
      </c>
      <c r="B428" t="s">
        <v>115</v>
      </c>
      <c r="C428" t="s">
        <v>22</v>
      </c>
      <c r="D428">
        <v>45</v>
      </c>
      <c r="E428">
        <v>41</v>
      </c>
      <c r="F428">
        <v>-4</v>
      </c>
      <c r="G428">
        <v>-8.9</v>
      </c>
    </row>
    <row r="429" spans="1:7" x14ac:dyDescent="0.35">
      <c r="A429" t="s">
        <v>74</v>
      </c>
      <c r="B429" t="s">
        <v>115</v>
      </c>
      <c r="C429" t="s">
        <v>22</v>
      </c>
      <c r="D429">
        <v>51</v>
      </c>
      <c r="E429">
        <v>55</v>
      </c>
      <c r="F429">
        <v>4</v>
      </c>
      <c r="G429">
        <v>7.8</v>
      </c>
    </row>
    <row r="430" spans="1:7" x14ac:dyDescent="0.35">
      <c r="A430" t="s">
        <v>75</v>
      </c>
      <c r="B430" t="s">
        <v>115</v>
      </c>
      <c r="C430" t="s">
        <v>22</v>
      </c>
      <c r="D430">
        <v>44</v>
      </c>
      <c r="E430">
        <v>45</v>
      </c>
      <c r="F430">
        <v>1</v>
      </c>
      <c r="G430">
        <v>2.2999999999999998</v>
      </c>
    </row>
    <row r="431" spans="1:7" x14ac:dyDescent="0.35">
      <c r="A431" t="s">
        <v>76</v>
      </c>
      <c r="B431" t="s">
        <v>115</v>
      </c>
      <c r="C431" t="s">
        <v>22</v>
      </c>
      <c r="D431">
        <v>47</v>
      </c>
      <c r="E431">
        <v>44</v>
      </c>
      <c r="F431">
        <v>-3</v>
      </c>
      <c r="G431">
        <v>-6.4</v>
      </c>
    </row>
    <row r="432" spans="1:7" x14ac:dyDescent="0.35">
      <c r="A432" t="s">
        <v>77</v>
      </c>
      <c r="B432" t="s">
        <v>115</v>
      </c>
      <c r="C432" t="s">
        <v>22</v>
      </c>
      <c r="D432">
        <v>52</v>
      </c>
      <c r="E432">
        <v>38</v>
      </c>
      <c r="F432">
        <v>-14</v>
      </c>
      <c r="G432">
        <v>-26.9</v>
      </c>
    </row>
    <row r="433" spans="1:7" x14ac:dyDescent="0.35">
      <c r="A433" t="s">
        <v>78</v>
      </c>
      <c r="B433" t="s">
        <v>115</v>
      </c>
      <c r="C433" t="s">
        <v>22</v>
      </c>
      <c r="D433">
        <v>55</v>
      </c>
      <c r="E433">
        <v>49</v>
      </c>
      <c r="F433">
        <v>-6</v>
      </c>
      <c r="G433">
        <v>-10.9</v>
      </c>
    </row>
    <row r="434" spans="1:7" x14ac:dyDescent="0.35">
      <c r="A434" t="s">
        <v>79</v>
      </c>
      <c r="B434" t="s">
        <v>115</v>
      </c>
      <c r="C434" t="s">
        <v>22</v>
      </c>
      <c r="D434">
        <v>47</v>
      </c>
      <c r="E434">
        <v>62</v>
      </c>
      <c r="F434">
        <v>15</v>
      </c>
      <c r="G434">
        <v>31.9</v>
      </c>
    </row>
    <row r="435" spans="1:7" x14ac:dyDescent="0.35">
      <c r="A435" t="s">
        <v>80</v>
      </c>
      <c r="B435" t="s">
        <v>115</v>
      </c>
      <c r="C435" t="s">
        <v>22</v>
      </c>
      <c r="D435">
        <v>57</v>
      </c>
      <c r="E435">
        <v>67</v>
      </c>
      <c r="F435">
        <v>10</v>
      </c>
      <c r="G435">
        <v>17.5</v>
      </c>
    </row>
    <row r="436" spans="1:7" x14ac:dyDescent="0.35">
      <c r="A436" t="s">
        <v>81</v>
      </c>
      <c r="B436" t="s">
        <v>115</v>
      </c>
      <c r="C436" t="s">
        <v>22</v>
      </c>
      <c r="D436">
        <v>60</v>
      </c>
      <c r="E436">
        <v>62</v>
      </c>
      <c r="F436">
        <v>2</v>
      </c>
      <c r="G436">
        <v>3.3</v>
      </c>
    </row>
    <row r="437" spans="1:7" x14ac:dyDescent="0.35">
      <c r="A437" t="s">
        <v>82</v>
      </c>
      <c r="B437" t="s">
        <v>115</v>
      </c>
      <c r="C437" t="s">
        <v>22</v>
      </c>
      <c r="D437">
        <v>60</v>
      </c>
      <c r="E437">
        <v>68</v>
      </c>
      <c r="F437">
        <v>8</v>
      </c>
      <c r="G437">
        <v>13.3</v>
      </c>
    </row>
    <row r="438" spans="1:7" x14ac:dyDescent="0.35">
      <c r="A438" t="s">
        <v>83</v>
      </c>
      <c r="B438" t="s">
        <v>115</v>
      </c>
      <c r="C438" t="s">
        <v>22</v>
      </c>
      <c r="D438">
        <v>61</v>
      </c>
      <c r="E438">
        <v>50</v>
      </c>
      <c r="F438">
        <v>-11</v>
      </c>
      <c r="G438">
        <v>-18</v>
      </c>
    </row>
    <row r="439" spans="1:7" x14ac:dyDescent="0.35">
      <c r="A439" t="s">
        <v>84</v>
      </c>
      <c r="B439" t="s">
        <v>115</v>
      </c>
      <c r="C439" t="s">
        <v>22</v>
      </c>
      <c r="D439">
        <v>62</v>
      </c>
      <c r="E439">
        <v>51</v>
      </c>
      <c r="F439">
        <v>-11</v>
      </c>
      <c r="G439">
        <v>-17.7</v>
      </c>
    </row>
    <row r="440" spans="1:7" x14ac:dyDescent="0.35">
      <c r="A440" t="s">
        <v>85</v>
      </c>
      <c r="B440" t="s">
        <v>115</v>
      </c>
      <c r="C440" t="s">
        <v>22</v>
      </c>
      <c r="D440">
        <v>56</v>
      </c>
      <c r="E440">
        <v>53</v>
      </c>
      <c r="F440">
        <v>-3</v>
      </c>
      <c r="G440">
        <v>-5.4</v>
      </c>
    </row>
    <row r="441" spans="1:7" x14ac:dyDescent="0.35">
      <c r="A441" t="s">
        <v>86</v>
      </c>
      <c r="B441" t="s">
        <v>115</v>
      </c>
      <c r="C441" t="s">
        <v>22</v>
      </c>
      <c r="D441">
        <v>64</v>
      </c>
      <c r="E441">
        <v>70</v>
      </c>
      <c r="F441">
        <v>6</v>
      </c>
      <c r="G441">
        <v>9.4</v>
      </c>
    </row>
    <row r="442" spans="1:7" x14ac:dyDescent="0.35">
      <c r="A442" t="s">
        <v>87</v>
      </c>
      <c r="B442" t="s">
        <v>115</v>
      </c>
      <c r="C442" t="s">
        <v>22</v>
      </c>
      <c r="D442">
        <v>65</v>
      </c>
      <c r="E442">
        <v>51</v>
      </c>
      <c r="F442">
        <v>-14</v>
      </c>
      <c r="G442">
        <v>-21.5</v>
      </c>
    </row>
    <row r="443" spans="1:7" x14ac:dyDescent="0.35">
      <c r="A443" t="s">
        <v>88</v>
      </c>
      <c r="B443" t="s">
        <v>115</v>
      </c>
      <c r="C443" t="s">
        <v>22</v>
      </c>
      <c r="D443">
        <v>59</v>
      </c>
      <c r="E443">
        <v>68</v>
      </c>
      <c r="F443">
        <v>9</v>
      </c>
      <c r="G443">
        <v>15.3</v>
      </c>
    </row>
    <row r="444" spans="1:7" x14ac:dyDescent="0.35">
      <c r="A444" t="s">
        <v>89</v>
      </c>
      <c r="B444" t="s">
        <v>115</v>
      </c>
      <c r="C444" t="s">
        <v>22</v>
      </c>
      <c r="D444">
        <v>59</v>
      </c>
      <c r="E444">
        <v>75</v>
      </c>
      <c r="F444">
        <v>16</v>
      </c>
      <c r="G444">
        <v>27.1</v>
      </c>
    </row>
    <row r="445" spans="1:7" x14ac:dyDescent="0.35">
      <c r="A445" t="s">
        <v>90</v>
      </c>
      <c r="B445" t="s">
        <v>115</v>
      </c>
      <c r="C445" t="s">
        <v>22</v>
      </c>
      <c r="D445">
        <v>60</v>
      </c>
      <c r="E445">
        <v>62</v>
      </c>
      <c r="F445">
        <v>2</v>
      </c>
      <c r="G445">
        <v>3.3</v>
      </c>
    </row>
    <row r="446" spans="1:7" x14ac:dyDescent="0.35">
      <c r="A446" t="s">
        <v>91</v>
      </c>
      <c r="B446" t="s">
        <v>115</v>
      </c>
      <c r="C446" t="s">
        <v>22</v>
      </c>
      <c r="D446">
        <v>63</v>
      </c>
      <c r="E446">
        <v>81</v>
      </c>
      <c r="F446">
        <v>18</v>
      </c>
      <c r="G446">
        <v>28.6</v>
      </c>
    </row>
    <row r="447" spans="1:7" x14ac:dyDescent="0.35">
      <c r="A447" t="s">
        <v>92</v>
      </c>
      <c r="B447" t="s">
        <v>115</v>
      </c>
      <c r="C447" t="s">
        <v>22</v>
      </c>
      <c r="D447">
        <v>66</v>
      </c>
      <c r="E447">
        <v>66</v>
      </c>
      <c r="F447">
        <v>0</v>
      </c>
      <c r="G447">
        <v>0</v>
      </c>
    </row>
    <row r="448" spans="1:7" x14ac:dyDescent="0.35">
      <c r="A448" t="s">
        <v>93</v>
      </c>
      <c r="B448" t="s">
        <v>115</v>
      </c>
      <c r="C448" t="s">
        <v>22</v>
      </c>
      <c r="D448">
        <v>66</v>
      </c>
      <c r="E448">
        <v>80</v>
      </c>
      <c r="F448">
        <v>14</v>
      </c>
      <c r="G448">
        <v>21.2</v>
      </c>
    </row>
    <row r="449" spans="1:7" x14ac:dyDescent="0.35">
      <c r="A449" t="s">
        <v>94</v>
      </c>
      <c r="B449" t="s">
        <v>115</v>
      </c>
      <c r="C449" t="s">
        <v>22</v>
      </c>
      <c r="D449">
        <v>77</v>
      </c>
      <c r="E449">
        <v>66</v>
      </c>
      <c r="F449">
        <v>-11</v>
      </c>
      <c r="G449">
        <v>-14.3</v>
      </c>
    </row>
    <row r="450" spans="1:7" x14ac:dyDescent="0.35">
      <c r="A450" t="s">
        <v>95</v>
      </c>
      <c r="B450" t="s">
        <v>115</v>
      </c>
      <c r="C450" t="s">
        <v>22</v>
      </c>
      <c r="D450">
        <v>73</v>
      </c>
      <c r="E450">
        <v>64</v>
      </c>
      <c r="F450">
        <v>-9</v>
      </c>
      <c r="G450">
        <v>-12.3</v>
      </c>
    </row>
    <row r="451" spans="1:7" x14ac:dyDescent="0.35">
      <c r="A451" t="s">
        <v>96</v>
      </c>
      <c r="B451" t="s">
        <v>115</v>
      </c>
      <c r="C451" t="s">
        <v>22</v>
      </c>
      <c r="D451">
        <v>69</v>
      </c>
      <c r="E451">
        <v>89</v>
      </c>
      <c r="F451">
        <v>20</v>
      </c>
      <c r="G451">
        <v>29</v>
      </c>
    </row>
    <row r="452" spans="1:7" x14ac:dyDescent="0.35">
      <c r="A452" t="s">
        <v>97</v>
      </c>
      <c r="B452" t="s">
        <v>115</v>
      </c>
      <c r="C452" t="s">
        <v>22</v>
      </c>
      <c r="D452">
        <v>82</v>
      </c>
      <c r="E452">
        <v>93</v>
      </c>
      <c r="F452">
        <v>11</v>
      </c>
      <c r="G452">
        <v>13.4</v>
      </c>
    </row>
    <row r="453" spans="1:7" x14ac:dyDescent="0.35">
      <c r="A453" t="s">
        <v>98</v>
      </c>
      <c r="B453" t="s">
        <v>115</v>
      </c>
      <c r="C453" t="s">
        <v>22</v>
      </c>
      <c r="D453">
        <v>73</v>
      </c>
      <c r="E453">
        <v>90</v>
      </c>
      <c r="F453">
        <v>17</v>
      </c>
      <c r="G453">
        <v>23.3</v>
      </c>
    </row>
    <row r="454" spans="1:7" x14ac:dyDescent="0.35">
      <c r="A454" t="s">
        <v>99</v>
      </c>
      <c r="B454" t="s">
        <v>115</v>
      </c>
      <c r="C454" t="s">
        <v>22</v>
      </c>
      <c r="D454">
        <v>82</v>
      </c>
      <c r="E454">
        <v>76</v>
      </c>
      <c r="F454">
        <v>-6</v>
      </c>
      <c r="G454">
        <v>-7.3</v>
      </c>
    </row>
    <row r="455" spans="1:7" x14ac:dyDescent="0.35">
      <c r="A455" t="s">
        <v>100</v>
      </c>
      <c r="B455" t="s">
        <v>115</v>
      </c>
      <c r="C455" t="s">
        <v>22</v>
      </c>
      <c r="D455">
        <v>72</v>
      </c>
      <c r="E455">
        <v>89</v>
      </c>
      <c r="F455">
        <v>17</v>
      </c>
      <c r="G455">
        <v>23.6</v>
      </c>
    </row>
    <row r="456" spans="1:7" x14ac:dyDescent="0.35">
      <c r="A456" t="s">
        <v>101</v>
      </c>
      <c r="B456" t="s">
        <v>115</v>
      </c>
      <c r="C456" t="s">
        <v>22</v>
      </c>
      <c r="D456">
        <v>76</v>
      </c>
      <c r="E456">
        <v>87</v>
      </c>
      <c r="F456">
        <v>11</v>
      </c>
      <c r="G456">
        <v>14.5</v>
      </c>
    </row>
    <row r="457" spans="1:7" x14ac:dyDescent="0.35">
      <c r="A457" t="s">
        <v>102</v>
      </c>
      <c r="B457" t="s">
        <v>115</v>
      </c>
      <c r="C457" t="s">
        <v>22</v>
      </c>
      <c r="D457">
        <v>84</v>
      </c>
      <c r="E457">
        <v>77</v>
      </c>
      <c r="F457">
        <v>-7</v>
      </c>
      <c r="G457">
        <v>-8.3000000000000007</v>
      </c>
    </row>
    <row r="458" spans="1:7" x14ac:dyDescent="0.35">
      <c r="A458" t="s">
        <v>103</v>
      </c>
      <c r="B458" t="s">
        <v>115</v>
      </c>
      <c r="C458" t="s">
        <v>22</v>
      </c>
      <c r="D458">
        <v>88</v>
      </c>
      <c r="E458">
        <v>85</v>
      </c>
      <c r="F458">
        <v>-3</v>
      </c>
      <c r="G458">
        <v>-3.4</v>
      </c>
    </row>
    <row r="459" spans="1:7" x14ac:dyDescent="0.35">
      <c r="A459" t="s">
        <v>104</v>
      </c>
      <c r="B459" t="s">
        <v>115</v>
      </c>
      <c r="C459" t="s">
        <v>22</v>
      </c>
      <c r="D459">
        <v>76</v>
      </c>
      <c r="E459">
        <v>78</v>
      </c>
      <c r="F459">
        <v>2</v>
      </c>
      <c r="G459">
        <v>2.6</v>
      </c>
    </row>
    <row r="460" spans="1:7" x14ac:dyDescent="0.35">
      <c r="A460" t="s">
        <v>105</v>
      </c>
      <c r="B460" t="s">
        <v>115</v>
      </c>
      <c r="C460" t="s">
        <v>22</v>
      </c>
      <c r="D460">
        <v>79</v>
      </c>
      <c r="E460">
        <v>67</v>
      </c>
      <c r="F460">
        <v>-12</v>
      </c>
      <c r="G460">
        <v>-15.2</v>
      </c>
    </row>
    <row r="461" spans="1:7" x14ac:dyDescent="0.35">
      <c r="A461" t="s">
        <v>106</v>
      </c>
      <c r="B461" t="s">
        <v>115</v>
      </c>
      <c r="C461" t="s">
        <v>22</v>
      </c>
      <c r="D461">
        <v>80</v>
      </c>
      <c r="E461">
        <v>93</v>
      </c>
      <c r="F461">
        <v>13</v>
      </c>
      <c r="G461">
        <v>16.2</v>
      </c>
    </row>
    <row r="462" spans="1:7" x14ac:dyDescent="0.35">
      <c r="A462" t="s">
        <v>107</v>
      </c>
      <c r="B462" t="s">
        <v>115</v>
      </c>
      <c r="C462" t="s">
        <v>22</v>
      </c>
      <c r="D462">
        <v>79</v>
      </c>
      <c r="E462">
        <v>78</v>
      </c>
      <c r="F462">
        <v>-1</v>
      </c>
      <c r="G462">
        <v>-1.3</v>
      </c>
    </row>
    <row r="463" spans="1:7" x14ac:dyDescent="0.35">
      <c r="A463" t="s">
        <v>108</v>
      </c>
      <c r="B463" t="s">
        <v>115</v>
      </c>
      <c r="C463" t="s">
        <v>22</v>
      </c>
      <c r="D463">
        <v>85</v>
      </c>
      <c r="E463">
        <v>77</v>
      </c>
      <c r="F463">
        <v>-8</v>
      </c>
      <c r="G463">
        <v>-9.4</v>
      </c>
    </row>
    <row r="464" spans="1:7" x14ac:dyDescent="0.35">
      <c r="A464" t="s">
        <v>109</v>
      </c>
      <c r="B464" t="s">
        <v>115</v>
      </c>
      <c r="C464" t="s">
        <v>22</v>
      </c>
      <c r="D464">
        <v>85</v>
      </c>
      <c r="E464">
        <v>81</v>
      </c>
      <c r="F464">
        <v>-4</v>
      </c>
      <c r="G464">
        <v>-4.7</v>
      </c>
    </row>
    <row r="465" spans="1:7" x14ac:dyDescent="0.35">
      <c r="A465" t="s">
        <v>110</v>
      </c>
      <c r="B465" t="s">
        <v>115</v>
      </c>
      <c r="C465" t="s">
        <v>22</v>
      </c>
      <c r="D465">
        <v>84</v>
      </c>
      <c r="E465">
        <v>101</v>
      </c>
      <c r="F465">
        <v>17</v>
      </c>
      <c r="G465">
        <v>20.2</v>
      </c>
    </row>
    <row r="466" spans="1:7" x14ac:dyDescent="0.35">
      <c r="A466" t="s">
        <v>111</v>
      </c>
      <c r="B466" t="s">
        <v>115</v>
      </c>
      <c r="C466" t="s">
        <v>22</v>
      </c>
      <c r="D466">
        <v>80</v>
      </c>
      <c r="E466">
        <v>87</v>
      </c>
      <c r="F466">
        <v>7</v>
      </c>
      <c r="G466">
        <v>8.8000000000000007</v>
      </c>
    </row>
    <row r="467" spans="1:7" x14ac:dyDescent="0.35">
      <c r="A467" t="s">
        <v>112</v>
      </c>
      <c r="B467" t="s">
        <v>115</v>
      </c>
      <c r="C467" t="s">
        <v>22</v>
      </c>
      <c r="D467">
        <v>85</v>
      </c>
      <c r="E467">
        <v>88</v>
      </c>
      <c r="F467">
        <v>3</v>
      </c>
      <c r="G467">
        <v>3.5</v>
      </c>
    </row>
    <row r="468" spans="1:7" x14ac:dyDescent="0.35">
      <c r="A468" t="s">
        <v>113</v>
      </c>
      <c r="B468" t="s">
        <v>115</v>
      </c>
      <c r="C468" t="s">
        <v>22</v>
      </c>
      <c r="D468">
        <v>82</v>
      </c>
      <c r="E468">
        <v>91</v>
      </c>
      <c r="F468">
        <v>9</v>
      </c>
      <c r="G468">
        <v>11</v>
      </c>
    </row>
    <row r="469" spans="1:7" x14ac:dyDescent="0.35">
      <c r="A469" t="s">
        <v>114</v>
      </c>
      <c r="B469" t="s">
        <v>115</v>
      </c>
      <c r="C469" t="s">
        <v>22</v>
      </c>
      <c r="D469">
        <v>85</v>
      </c>
      <c r="E469">
        <v>67</v>
      </c>
      <c r="F469">
        <v>-18</v>
      </c>
      <c r="G469">
        <v>-21.2</v>
      </c>
    </row>
    <row r="470" spans="1:7" x14ac:dyDescent="0.35">
      <c r="A470" t="s">
        <v>62</v>
      </c>
      <c r="B470" t="s">
        <v>115</v>
      </c>
      <c r="C470" t="s">
        <v>27</v>
      </c>
      <c r="D470">
        <v>22</v>
      </c>
      <c r="E470">
        <v>18</v>
      </c>
      <c r="F470">
        <v>-4</v>
      </c>
      <c r="G470">
        <v>-18.2</v>
      </c>
    </row>
    <row r="471" spans="1:7" x14ac:dyDescent="0.35">
      <c r="A471" t="s">
        <v>64</v>
      </c>
      <c r="B471" t="s">
        <v>115</v>
      </c>
      <c r="C471" t="s">
        <v>27</v>
      </c>
      <c r="D471">
        <v>21</v>
      </c>
      <c r="E471">
        <v>16</v>
      </c>
      <c r="F471">
        <v>-5</v>
      </c>
      <c r="G471">
        <v>-23.8</v>
      </c>
    </row>
    <row r="472" spans="1:7" x14ac:dyDescent="0.35">
      <c r="A472" t="s">
        <v>65</v>
      </c>
      <c r="B472" t="s">
        <v>115</v>
      </c>
      <c r="C472" t="s">
        <v>27</v>
      </c>
      <c r="D472">
        <v>23</v>
      </c>
      <c r="E472">
        <v>17</v>
      </c>
      <c r="F472">
        <v>-6</v>
      </c>
      <c r="G472">
        <v>-26.1</v>
      </c>
    </row>
    <row r="473" spans="1:7" x14ac:dyDescent="0.35">
      <c r="A473" t="s">
        <v>66</v>
      </c>
      <c r="B473" t="s">
        <v>115</v>
      </c>
      <c r="C473" t="s">
        <v>27</v>
      </c>
      <c r="D473">
        <v>22</v>
      </c>
      <c r="E473">
        <v>24</v>
      </c>
      <c r="F473">
        <v>2</v>
      </c>
      <c r="G473">
        <v>9.1</v>
      </c>
    </row>
    <row r="474" spans="1:7" x14ac:dyDescent="0.35">
      <c r="A474" t="s">
        <v>67</v>
      </c>
      <c r="B474" t="s">
        <v>115</v>
      </c>
      <c r="C474" t="s">
        <v>27</v>
      </c>
      <c r="D474">
        <v>24</v>
      </c>
      <c r="E474">
        <v>28</v>
      </c>
      <c r="F474">
        <v>4</v>
      </c>
      <c r="G474">
        <v>16.7</v>
      </c>
    </row>
    <row r="475" spans="1:7" x14ac:dyDescent="0.35">
      <c r="A475" t="s">
        <v>68</v>
      </c>
      <c r="B475" t="s">
        <v>115</v>
      </c>
      <c r="C475" t="s">
        <v>27</v>
      </c>
      <c r="D475">
        <v>23</v>
      </c>
      <c r="E475">
        <v>27</v>
      </c>
      <c r="F475">
        <v>4</v>
      </c>
      <c r="G475">
        <v>17.399999999999999</v>
      </c>
    </row>
    <row r="476" spans="1:7" x14ac:dyDescent="0.35">
      <c r="A476" t="s">
        <v>69</v>
      </c>
      <c r="B476" t="s">
        <v>115</v>
      </c>
      <c r="C476" t="s">
        <v>27</v>
      </c>
      <c r="D476">
        <v>23</v>
      </c>
      <c r="E476">
        <v>23</v>
      </c>
      <c r="F476">
        <v>0</v>
      </c>
      <c r="G476">
        <v>0</v>
      </c>
    </row>
    <row r="477" spans="1:7" x14ac:dyDescent="0.35">
      <c r="A477" t="s">
        <v>70</v>
      </c>
      <c r="B477" t="s">
        <v>115</v>
      </c>
      <c r="C477" t="s">
        <v>27</v>
      </c>
      <c r="D477">
        <v>23</v>
      </c>
      <c r="E477">
        <v>25</v>
      </c>
      <c r="F477">
        <v>2</v>
      </c>
      <c r="G477">
        <v>8.6999999999999993</v>
      </c>
    </row>
    <row r="478" spans="1:7" x14ac:dyDescent="0.35">
      <c r="A478" t="s">
        <v>71</v>
      </c>
      <c r="B478" t="s">
        <v>115</v>
      </c>
      <c r="C478" t="s">
        <v>27</v>
      </c>
      <c r="D478">
        <v>26</v>
      </c>
      <c r="E478">
        <v>32</v>
      </c>
      <c r="F478">
        <v>6</v>
      </c>
      <c r="G478">
        <v>23.1</v>
      </c>
    </row>
    <row r="479" spans="1:7" x14ac:dyDescent="0.35">
      <c r="A479" t="s">
        <v>72</v>
      </c>
      <c r="B479" t="s">
        <v>115</v>
      </c>
      <c r="C479" t="s">
        <v>27</v>
      </c>
      <c r="D479">
        <v>24</v>
      </c>
      <c r="E479">
        <v>25</v>
      </c>
      <c r="F479">
        <v>1</v>
      </c>
      <c r="G479">
        <v>4.2</v>
      </c>
    </row>
    <row r="480" spans="1:7" x14ac:dyDescent="0.35">
      <c r="A480" t="s">
        <v>73</v>
      </c>
      <c r="B480" t="s">
        <v>115</v>
      </c>
      <c r="C480" t="s">
        <v>27</v>
      </c>
      <c r="D480">
        <v>27</v>
      </c>
      <c r="E480">
        <v>34</v>
      </c>
      <c r="F480">
        <v>7</v>
      </c>
      <c r="G480">
        <v>25.9</v>
      </c>
    </row>
    <row r="481" spans="1:7" x14ac:dyDescent="0.35">
      <c r="A481" t="s">
        <v>74</v>
      </c>
      <c r="B481" t="s">
        <v>115</v>
      </c>
      <c r="C481" t="s">
        <v>27</v>
      </c>
      <c r="D481">
        <v>30</v>
      </c>
      <c r="E481">
        <v>23</v>
      </c>
      <c r="F481">
        <v>-7</v>
      </c>
      <c r="G481">
        <v>-23.3</v>
      </c>
    </row>
    <row r="482" spans="1:7" x14ac:dyDescent="0.35">
      <c r="A482" t="s">
        <v>75</v>
      </c>
      <c r="B482" t="s">
        <v>115</v>
      </c>
      <c r="C482" t="s">
        <v>27</v>
      </c>
      <c r="D482">
        <v>30</v>
      </c>
      <c r="E482">
        <v>30</v>
      </c>
      <c r="F482">
        <v>0</v>
      </c>
      <c r="G482">
        <v>0</v>
      </c>
    </row>
    <row r="483" spans="1:7" x14ac:dyDescent="0.35">
      <c r="A483" t="s">
        <v>76</v>
      </c>
      <c r="B483" t="s">
        <v>115</v>
      </c>
      <c r="C483" t="s">
        <v>27</v>
      </c>
      <c r="D483">
        <v>33</v>
      </c>
      <c r="E483">
        <v>28</v>
      </c>
      <c r="F483">
        <v>-5</v>
      </c>
      <c r="G483">
        <v>-15.2</v>
      </c>
    </row>
    <row r="484" spans="1:7" x14ac:dyDescent="0.35">
      <c r="A484" t="s">
        <v>77</v>
      </c>
      <c r="B484" t="s">
        <v>115</v>
      </c>
      <c r="C484" t="s">
        <v>27</v>
      </c>
      <c r="D484">
        <v>30</v>
      </c>
      <c r="E484">
        <v>26</v>
      </c>
      <c r="F484">
        <v>-4</v>
      </c>
      <c r="G484">
        <v>-13.3</v>
      </c>
    </row>
    <row r="485" spans="1:7" x14ac:dyDescent="0.35">
      <c r="A485" t="s">
        <v>78</v>
      </c>
      <c r="B485" t="s">
        <v>115</v>
      </c>
      <c r="C485" t="s">
        <v>27</v>
      </c>
      <c r="D485">
        <v>29</v>
      </c>
      <c r="E485">
        <v>37</v>
      </c>
      <c r="F485">
        <v>8</v>
      </c>
      <c r="G485">
        <v>27.6</v>
      </c>
    </row>
    <row r="486" spans="1:7" x14ac:dyDescent="0.35">
      <c r="A486" t="s">
        <v>79</v>
      </c>
      <c r="B486" t="s">
        <v>115</v>
      </c>
      <c r="C486" t="s">
        <v>27</v>
      </c>
      <c r="D486">
        <v>32</v>
      </c>
      <c r="E486">
        <v>35</v>
      </c>
      <c r="F486">
        <v>3</v>
      </c>
      <c r="G486">
        <v>9.4</v>
      </c>
    </row>
    <row r="487" spans="1:7" x14ac:dyDescent="0.35">
      <c r="A487" t="s">
        <v>80</v>
      </c>
      <c r="B487" t="s">
        <v>115</v>
      </c>
      <c r="C487" t="s">
        <v>27</v>
      </c>
      <c r="D487">
        <v>34</v>
      </c>
      <c r="E487">
        <v>35</v>
      </c>
      <c r="F487">
        <v>1</v>
      </c>
      <c r="G487">
        <v>2.9</v>
      </c>
    </row>
    <row r="488" spans="1:7" x14ac:dyDescent="0.35">
      <c r="A488" t="s">
        <v>81</v>
      </c>
      <c r="B488" t="s">
        <v>115</v>
      </c>
      <c r="C488" t="s">
        <v>27</v>
      </c>
      <c r="D488">
        <v>30</v>
      </c>
      <c r="E488">
        <v>39</v>
      </c>
      <c r="F488">
        <v>9</v>
      </c>
      <c r="G488">
        <v>30</v>
      </c>
    </row>
    <row r="489" spans="1:7" x14ac:dyDescent="0.35">
      <c r="A489" t="s">
        <v>82</v>
      </c>
      <c r="B489" t="s">
        <v>115</v>
      </c>
      <c r="C489" t="s">
        <v>27</v>
      </c>
      <c r="D489">
        <v>33</v>
      </c>
      <c r="E489">
        <v>28</v>
      </c>
      <c r="F489">
        <v>-5</v>
      </c>
      <c r="G489">
        <v>-15.2</v>
      </c>
    </row>
    <row r="490" spans="1:7" x14ac:dyDescent="0.35">
      <c r="A490" t="s">
        <v>83</v>
      </c>
      <c r="B490" t="s">
        <v>115</v>
      </c>
      <c r="C490" t="s">
        <v>27</v>
      </c>
      <c r="D490">
        <v>36</v>
      </c>
      <c r="E490">
        <v>27</v>
      </c>
      <c r="F490">
        <v>-9</v>
      </c>
      <c r="G490">
        <v>-25</v>
      </c>
    </row>
    <row r="491" spans="1:7" x14ac:dyDescent="0.35">
      <c r="A491" t="s">
        <v>84</v>
      </c>
      <c r="B491" t="s">
        <v>115</v>
      </c>
      <c r="C491" t="s">
        <v>27</v>
      </c>
      <c r="D491">
        <v>38</v>
      </c>
      <c r="E491">
        <v>31</v>
      </c>
      <c r="F491">
        <v>-7</v>
      </c>
      <c r="G491">
        <v>-18.399999999999999</v>
      </c>
    </row>
    <row r="492" spans="1:7" x14ac:dyDescent="0.35">
      <c r="A492" t="s">
        <v>85</v>
      </c>
      <c r="B492" t="s">
        <v>115</v>
      </c>
      <c r="C492" t="s">
        <v>27</v>
      </c>
      <c r="D492">
        <v>35</v>
      </c>
      <c r="E492">
        <v>44</v>
      </c>
      <c r="F492">
        <v>9</v>
      </c>
      <c r="G492">
        <v>25.7</v>
      </c>
    </row>
    <row r="493" spans="1:7" x14ac:dyDescent="0.35">
      <c r="A493" t="s">
        <v>86</v>
      </c>
      <c r="B493" t="s">
        <v>115</v>
      </c>
      <c r="C493" t="s">
        <v>27</v>
      </c>
      <c r="D493">
        <v>36</v>
      </c>
      <c r="E493">
        <v>31</v>
      </c>
      <c r="F493">
        <v>-5</v>
      </c>
      <c r="G493">
        <v>-13.9</v>
      </c>
    </row>
    <row r="494" spans="1:7" x14ac:dyDescent="0.35">
      <c r="A494" t="s">
        <v>87</v>
      </c>
      <c r="B494" t="s">
        <v>115</v>
      </c>
      <c r="C494" t="s">
        <v>27</v>
      </c>
      <c r="D494">
        <v>41</v>
      </c>
      <c r="E494">
        <v>29</v>
      </c>
      <c r="F494">
        <v>-12</v>
      </c>
      <c r="G494">
        <v>-29.3</v>
      </c>
    </row>
    <row r="495" spans="1:7" x14ac:dyDescent="0.35">
      <c r="A495" t="s">
        <v>88</v>
      </c>
      <c r="B495" t="s">
        <v>115</v>
      </c>
      <c r="C495" t="s">
        <v>27</v>
      </c>
      <c r="D495">
        <v>42</v>
      </c>
      <c r="E495">
        <v>32</v>
      </c>
      <c r="F495">
        <v>-10</v>
      </c>
      <c r="G495">
        <v>-23.8</v>
      </c>
    </row>
    <row r="496" spans="1:7" x14ac:dyDescent="0.35">
      <c r="A496" t="s">
        <v>89</v>
      </c>
      <c r="B496" t="s">
        <v>115</v>
      </c>
      <c r="C496" t="s">
        <v>27</v>
      </c>
      <c r="D496">
        <v>37</v>
      </c>
      <c r="E496">
        <v>35</v>
      </c>
      <c r="F496">
        <v>-2</v>
      </c>
      <c r="G496">
        <v>-5.4</v>
      </c>
    </row>
    <row r="497" spans="1:7" x14ac:dyDescent="0.35">
      <c r="A497" t="s">
        <v>90</v>
      </c>
      <c r="B497" t="s">
        <v>115</v>
      </c>
      <c r="C497" t="s">
        <v>27</v>
      </c>
      <c r="D497">
        <v>38</v>
      </c>
      <c r="E497">
        <v>44</v>
      </c>
      <c r="F497">
        <v>6</v>
      </c>
      <c r="G497">
        <v>15.8</v>
      </c>
    </row>
    <row r="498" spans="1:7" x14ac:dyDescent="0.35">
      <c r="A498" t="s">
        <v>91</v>
      </c>
      <c r="B498" t="s">
        <v>115</v>
      </c>
      <c r="C498" t="s">
        <v>27</v>
      </c>
      <c r="D498">
        <v>37</v>
      </c>
      <c r="E498">
        <v>31</v>
      </c>
      <c r="F498">
        <v>-6</v>
      </c>
      <c r="G498">
        <v>-16.2</v>
      </c>
    </row>
    <row r="499" spans="1:7" x14ac:dyDescent="0.35">
      <c r="A499" t="s">
        <v>92</v>
      </c>
      <c r="B499" t="s">
        <v>115</v>
      </c>
      <c r="C499" t="s">
        <v>27</v>
      </c>
      <c r="D499">
        <v>45</v>
      </c>
      <c r="E499">
        <v>37</v>
      </c>
      <c r="F499">
        <v>-8</v>
      </c>
      <c r="G499">
        <v>-17.8</v>
      </c>
    </row>
    <row r="500" spans="1:7" x14ac:dyDescent="0.35">
      <c r="A500" t="s">
        <v>93</v>
      </c>
      <c r="B500" t="s">
        <v>115</v>
      </c>
      <c r="C500" t="s">
        <v>27</v>
      </c>
      <c r="D500">
        <v>41</v>
      </c>
      <c r="E500">
        <v>36</v>
      </c>
      <c r="F500">
        <v>-5</v>
      </c>
      <c r="G500">
        <v>-12.2</v>
      </c>
    </row>
    <row r="501" spans="1:7" x14ac:dyDescent="0.35">
      <c r="A501" t="s">
        <v>94</v>
      </c>
      <c r="B501" t="s">
        <v>115</v>
      </c>
      <c r="C501" t="s">
        <v>27</v>
      </c>
      <c r="D501">
        <v>40</v>
      </c>
      <c r="E501">
        <v>49</v>
      </c>
      <c r="F501">
        <v>9</v>
      </c>
      <c r="G501">
        <v>22.5</v>
      </c>
    </row>
    <row r="502" spans="1:7" x14ac:dyDescent="0.35">
      <c r="A502" t="s">
        <v>95</v>
      </c>
      <c r="B502" t="s">
        <v>115</v>
      </c>
      <c r="C502" t="s">
        <v>27</v>
      </c>
      <c r="D502">
        <v>45</v>
      </c>
      <c r="E502">
        <v>50</v>
      </c>
      <c r="F502">
        <v>5</v>
      </c>
      <c r="G502">
        <v>11.1</v>
      </c>
    </row>
    <row r="503" spans="1:7" x14ac:dyDescent="0.35">
      <c r="A503" t="s">
        <v>96</v>
      </c>
      <c r="B503" t="s">
        <v>115</v>
      </c>
      <c r="C503" t="s">
        <v>27</v>
      </c>
      <c r="D503">
        <v>45</v>
      </c>
      <c r="E503">
        <v>51</v>
      </c>
      <c r="F503">
        <v>6</v>
      </c>
      <c r="G503">
        <v>13.3</v>
      </c>
    </row>
    <row r="504" spans="1:7" x14ac:dyDescent="0.35">
      <c r="A504" t="s">
        <v>97</v>
      </c>
      <c r="B504" t="s">
        <v>115</v>
      </c>
      <c r="C504" t="s">
        <v>27</v>
      </c>
      <c r="D504">
        <v>46</v>
      </c>
      <c r="E504">
        <v>37</v>
      </c>
      <c r="F504">
        <v>-9</v>
      </c>
      <c r="G504">
        <v>-19.600000000000001</v>
      </c>
    </row>
    <row r="505" spans="1:7" x14ac:dyDescent="0.35">
      <c r="A505" t="s">
        <v>98</v>
      </c>
      <c r="B505" t="s">
        <v>115</v>
      </c>
      <c r="C505" t="s">
        <v>27</v>
      </c>
      <c r="D505">
        <v>47</v>
      </c>
      <c r="E505">
        <v>57</v>
      </c>
      <c r="F505">
        <v>10</v>
      </c>
      <c r="G505">
        <v>21.3</v>
      </c>
    </row>
    <row r="506" spans="1:7" x14ac:dyDescent="0.35">
      <c r="A506" t="s">
        <v>99</v>
      </c>
      <c r="B506" t="s">
        <v>115</v>
      </c>
      <c r="C506" t="s">
        <v>27</v>
      </c>
      <c r="D506">
        <v>43</v>
      </c>
      <c r="E506">
        <v>54</v>
      </c>
      <c r="F506">
        <v>11</v>
      </c>
      <c r="G506">
        <v>25.6</v>
      </c>
    </row>
    <row r="507" spans="1:7" x14ac:dyDescent="0.35">
      <c r="A507" t="s">
        <v>100</v>
      </c>
      <c r="B507" t="s">
        <v>115</v>
      </c>
      <c r="C507" t="s">
        <v>27</v>
      </c>
      <c r="D507">
        <v>52</v>
      </c>
      <c r="E507">
        <v>49</v>
      </c>
      <c r="F507">
        <v>-3</v>
      </c>
      <c r="G507">
        <v>-5.8</v>
      </c>
    </row>
    <row r="508" spans="1:7" x14ac:dyDescent="0.35">
      <c r="A508" t="s">
        <v>101</v>
      </c>
      <c r="B508" t="s">
        <v>115</v>
      </c>
      <c r="C508" t="s">
        <v>27</v>
      </c>
      <c r="D508">
        <v>49</v>
      </c>
      <c r="E508">
        <v>60</v>
      </c>
      <c r="F508">
        <v>11</v>
      </c>
      <c r="G508">
        <v>22.4</v>
      </c>
    </row>
    <row r="509" spans="1:7" x14ac:dyDescent="0.35">
      <c r="A509" t="s">
        <v>102</v>
      </c>
      <c r="B509" t="s">
        <v>115</v>
      </c>
      <c r="C509" t="s">
        <v>27</v>
      </c>
      <c r="D509">
        <v>45</v>
      </c>
      <c r="E509">
        <v>49</v>
      </c>
      <c r="F509">
        <v>4</v>
      </c>
      <c r="G509">
        <v>8.9</v>
      </c>
    </row>
    <row r="510" spans="1:7" x14ac:dyDescent="0.35">
      <c r="A510" t="s">
        <v>103</v>
      </c>
      <c r="B510" t="s">
        <v>115</v>
      </c>
      <c r="C510" t="s">
        <v>27</v>
      </c>
      <c r="D510">
        <v>49</v>
      </c>
      <c r="E510">
        <v>55</v>
      </c>
      <c r="F510">
        <v>6</v>
      </c>
      <c r="G510">
        <v>12.2</v>
      </c>
    </row>
    <row r="511" spans="1:7" x14ac:dyDescent="0.35">
      <c r="A511" t="s">
        <v>104</v>
      </c>
      <c r="B511" t="s">
        <v>115</v>
      </c>
      <c r="C511" t="s">
        <v>27</v>
      </c>
      <c r="D511">
        <v>50</v>
      </c>
      <c r="E511">
        <v>61</v>
      </c>
      <c r="F511">
        <v>11</v>
      </c>
      <c r="G511">
        <v>22</v>
      </c>
    </row>
    <row r="512" spans="1:7" x14ac:dyDescent="0.35">
      <c r="A512" t="s">
        <v>105</v>
      </c>
      <c r="B512" t="s">
        <v>115</v>
      </c>
      <c r="C512" t="s">
        <v>27</v>
      </c>
      <c r="D512">
        <v>46</v>
      </c>
      <c r="E512">
        <v>40</v>
      </c>
      <c r="F512">
        <v>-6</v>
      </c>
      <c r="G512">
        <v>-13</v>
      </c>
    </row>
    <row r="513" spans="1:7" x14ac:dyDescent="0.35">
      <c r="A513" t="s">
        <v>106</v>
      </c>
      <c r="B513" t="s">
        <v>115</v>
      </c>
      <c r="C513" t="s">
        <v>27</v>
      </c>
      <c r="D513">
        <v>52</v>
      </c>
      <c r="E513">
        <v>39</v>
      </c>
      <c r="F513">
        <v>-13</v>
      </c>
      <c r="G513">
        <v>-25</v>
      </c>
    </row>
    <row r="514" spans="1:7" x14ac:dyDescent="0.35">
      <c r="A514" t="s">
        <v>107</v>
      </c>
      <c r="B514" t="s">
        <v>115</v>
      </c>
      <c r="C514" t="s">
        <v>27</v>
      </c>
      <c r="D514">
        <v>48</v>
      </c>
      <c r="E514">
        <v>54</v>
      </c>
      <c r="F514">
        <v>6</v>
      </c>
      <c r="G514">
        <v>12.5</v>
      </c>
    </row>
    <row r="515" spans="1:7" x14ac:dyDescent="0.35">
      <c r="A515" t="s">
        <v>108</v>
      </c>
      <c r="B515" t="s">
        <v>115</v>
      </c>
      <c r="C515" t="s">
        <v>27</v>
      </c>
      <c r="D515">
        <v>51</v>
      </c>
      <c r="E515">
        <v>46</v>
      </c>
      <c r="F515">
        <v>-5</v>
      </c>
      <c r="G515">
        <v>-9.8000000000000007</v>
      </c>
    </row>
    <row r="516" spans="1:7" x14ac:dyDescent="0.35">
      <c r="A516" t="s">
        <v>109</v>
      </c>
      <c r="B516" t="s">
        <v>115</v>
      </c>
      <c r="C516" t="s">
        <v>27</v>
      </c>
      <c r="D516">
        <v>56</v>
      </c>
      <c r="E516">
        <v>51</v>
      </c>
      <c r="F516">
        <v>-5</v>
      </c>
      <c r="G516">
        <v>-8.9</v>
      </c>
    </row>
    <row r="517" spans="1:7" x14ac:dyDescent="0.35">
      <c r="A517" t="s">
        <v>110</v>
      </c>
      <c r="B517" t="s">
        <v>115</v>
      </c>
      <c r="C517" t="s">
        <v>27</v>
      </c>
      <c r="D517">
        <v>50</v>
      </c>
      <c r="E517">
        <v>53</v>
      </c>
      <c r="F517">
        <v>3</v>
      </c>
      <c r="G517">
        <v>6</v>
      </c>
    </row>
    <row r="518" spans="1:7" x14ac:dyDescent="0.35">
      <c r="A518" t="s">
        <v>111</v>
      </c>
      <c r="B518" t="s">
        <v>115</v>
      </c>
      <c r="C518" t="s">
        <v>27</v>
      </c>
      <c r="D518">
        <v>46</v>
      </c>
      <c r="E518">
        <v>56</v>
      </c>
      <c r="F518">
        <v>10</v>
      </c>
      <c r="G518">
        <v>21.7</v>
      </c>
    </row>
    <row r="519" spans="1:7" x14ac:dyDescent="0.35">
      <c r="A519" t="s">
        <v>112</v>
      </c>
      <c r="B519" t="s">
        <v>115</v>
      </c>
      <c r="C519" t="s">
        <v>27</v>
      </c>
      <c r="D519">
        <v>54</v>
      </c>
      <c r="E519">
        <v>54</v>
      </c>
      <c r="F519">
        <v>0</v>
      </c>
      <c r="G519">
        <v>0</v>
      </c>
    </row>
    <row r="520" spans="1:7" x14ac:dyDescent="0.35">
      <c r="A520" t="s">
        <v>113</v>
      </c>
      <c r="B520" t="s">
        <v>115</v>
      </c>
      <c r="C520" t="s">
        <v>27</v>
      </c>
      <c r="D520">
        <v>53</v>
      </c>
      <c r="E520">
        <v>56</v>
      </c>
      <c r="F520">
        <v>3</v>
      </c>
      <c r="G520">
        <v>5.7</v>
      </c>
    </row>
    <row r="521" spans="1:7" x14ac:dyDescent="0.35">
      <c r="A521" t="s">
        <v>114</v>
      </c>
      <c r="B521" t="s">
        <v>115</v>
      </c>
      <c r="C521" t="s">
        <v>27</v>
      </c>
      <c r="D521">
        <v>48</v>
      </c>
      <c r="E521">
        <v>49</v>
      </c>
      <c r="F521">
        <v>1</v>
      </c>
      <c r="G521">
        <v>2.1</v>
      </c>
    </row>
    <row r="522" spans="1:7" x14ac:dyDescent="0.35">
      <c r="A522" t="s">
        <v>62</v>
      </c>
      <c r="B522" t="s">
        <v>115</v>
      </c>
      <c r="C522" t="s">
        <v>32</v>
      </c>
      <c r="D522">
        <v>38</v>
      </c>
      <c r="E522">
        <v>45</v>
      </c>
      <c r="F522">
        <v>7</v>
      </c>
      <c r="G522">
        <v>18.399999999999999</v>
      </c>
    </row>
    <row r="523" spans="1:7" x14ac:dyDescent="0.35">
      <c r="A523" t="s">
        <v>64</v>
      </c>
      <c r="B523" t="s">
        <v>115</v>
      </c>
      <c r="C523" t="s">
        <v>32</v>
      </c>
      <c r="D523">
        <v>39</v>
      </c>
      <c r="E523">
        <v>45</v>
      </c>
      <c r="F523">
        <v>6</v>
      </c>
      <c r="G523">
        <v>15.4</v>
      </c>
    </row>
    <row r="524" spans="1:7" x14ac:dyDescent="0.35">
      <c r="A524" t="s">
        <v>65</v>
      </c>
      <c r="B524" t="s">
        <v>115</v>
      </c>
      <c r="C524" t="s">
        <v>32</v>
      </c>
      <c r="D524">
        <v>40</v>
      </c>
      <c r="E524">
        <v>38</v>
      </c>
      <c r="F524">
        <v>-2</v>
      </c>
      <c r="G524">
        <v>-5</v>
      </c>
    </row>
    <row r="525" spans="1:7" x14ac:dyDescent="0.35">
      <c r="A525" t="s">
        <v>66</v>
      </c>
      <c r="B525" t="s">
        <v>115</v>
      </c>
      <c r="C525" t="s">
        <v>32</v>
      </c>
      <c r="D525">
        <v>41</v>
      </c>
      <c r="E525">
        <v>53</v>
      </c>
      <c r="F525">
        <v>12</v>
      </c>
      <c r="G525">
        <v>29.3</v>
      </c>
    </row>
    <row r="526" spans="1:7" x14ac:dyDescent="0.35">
      <c r="A526" t="s">
        <v>67</v>
      </c>
      <c r="B526" t="s">
        <v>115</v>
      </c>
      <c r="C526" t="s">
        <v>32</v>
      </c>
      <c r="D526">
        <v>46</v>
      </c>
      <c r="E526">
        <v>44</v>
      </c>
      <c r="F526">
        <v>-2</v>
      </c>
      <c r="G526">
        <v>-4.3</v>
      </c>
    </row>
    <row r="527" spans="1:7" x14ac:dyDescent="0.35">
      <c r="A527" t="s">
        <v>68</v>
      </c>
      <c r="B527" t="s">
        <v>115</v>
      </c>
      <c r="C527" t="s">
        <v>32</v>
      </c>
      <c r="D527">
        <v>42</v>
      </c>
      <c r="E527">
        <v>36</v>
      </c>
      <c r="F527">
        <v>-6</v>
      </c>
      <c r="G527">
        <v>-14.3</v>
      </c>
    </row>
    <row r="528" spans="1:7" x14ac:dyDescent="0.35">
      <c r="A528" t="s">
        <v>69</v>
      </c>
      <c r="B528" t="s">
        <v>115</v>
      </c>
      <c r="C528" t="s">
        <v>32</v>
      </c>
      <c r="D528">
        <v>47</v>
      </c>
      <c r="E528">
        <v>53</v>
      </c>
      <c r="F528">
        <v>6</v>
      </c>
      <c r="G528">
        <v>12.8</v>
      </c>
    </row>
    <row r="529" spans="1:7" x14ac:dyDescent="0.35">
      <c r="A529" t="s">
        <v>70</v>
      </c>
      <c r="B529" t="s">
        <v>115</v>
      </c>
      <c r="C529" t="s">
        <v>32</v>
      </c>
      <c r="D529">
        <v>48</v>
      </c>
      <c r="E529">
        <v>40</v>
      </c>
      <c r="F529">
        <v>-8</v>
      </c>
      <c r="G529">
        <v>-16.7</v>
      </c>
    </row>
    <row r="530" spans="1:7" x14ac:dyDescent="0.35">
      <c r="A530" t="s">
        <v>71</v>
      </c>
      <c r="B530" t="s">
        <v>115</v>
      </c>
      <c r="C530" t="s">
        <v>32</v>
      </c>
      <c r="D530">
        <v>46</v>
      </c>
      <c r="E530">
        <v>62</v>
      </c>
      <c r="F530">
        <v>16</v>
      </c>
      <c r="G530">
        <v>34.799999999999997</v>
      </c>
    </row>
    <row r="531" spans="1:7" x14ac:dyDescent="0.35">
      <c r="A531" t="s">
        <v>72</v>
      </c>
      <c r="B531" t="s">
        <v>115</v>
      </c>
      <c r="C531" t="s">
        <v>32</v>
      </c>
      <c r="D531">
        <v>53</v>
      </c>
      <c r="E531">
        <v>56</v>
      </c>
      <c r="F531">
        <v>3</v>
      </c>
      <c r="G531">
        <v>5.7</v>
      </c>
    </row>
    <row r="532" spans="1:7" x14ac:dyDescent="0.35">
      <c r="A532" t="s">
        <v>73</v>
      </c>
      <c r="B532" t="s">
        <v>115</v>
      </c>
      <c r="C532" t="s">
        <v>32</v>
      </c>
      <c r="D532">
        <v>52</v>
      </c>
      <c r="E532">
        <v>63</v>
      </c>
      <c r="F532">
        <v>11</v>
      </c>
      <c r="G532">
        <v>21.2</v>
      </c>
    </row>
    <row r="533" spans="1:7" x14ac:dyDescent="0.35">
      <c r="A533" t="s">
        <v>74</v>
      </c>
      <c r="B533" t="s">
        <v>115</v>
      </c>
      <c r="C533" t="s">
        <v>32</v>
      </c>
      <c r="D533">
        <v>60</v>
      </c>
      <c r="E533">
        <v>53</v>
      </c>
      <c r="F533">
        <v>-7</v>
      </c>
      <c r="G533">
        <v>-11.7</v>
      </c>
    </row>
    <row r="534" spans="1:7" x14ac:dyDescent="0.35">
      <c r="A534" t="s">
        <v>75</v>
      </c>
      <c r="B534" t="s">
        <v>115</v>
      </c>
      <c r="C534" t="s">
        <v>32</v>
      </c>
      <c r="D534">
        <v>61</v>
      </c>
      <c r="E534">
        <v>44</v>
      </c>
      <c r="F534">
        <v>-17</v>
      </c>
      <c r="G534">
        <v>-27.9</v>
      </c>
    </row>
    <row r="535" spans="1:7" x14ac:dyDescent="0.35">
      <c r="A535" t="s">
        <v>76</v>
      </c>
      <c r="B535" t="s">
        <v>115</v>
      </c>
      <c r="C535" t="s">
        <v>32</v>
      </c>
      <c r="D535">
        <v>55</v>
      </c>
      <c r="E535">
        <v>52</v>
      </c>
      <c r="F535">
        <v>-3</v>
      </c>
      <c r="G535">
        <v>-5.5</v>
      </c>
    </row>
    <row r="536" spans="1:7" x14ac:dyDescent="0.35">
      <c r="A536" t="s">
        <v>77</v>
      </c>
      <c r="B536" t="s">
        <v>115</v>
      </c>
      <c r="C536" t="s">
        <v>32</v>
      </c>
      <c r="D536">
        <v>55</v>
      </c>
      <c r="E536">
        <v>60</v>
      </c>
      <c r="F536">
        <v>5</v>
      </c>
      <c r="G536">
        <v>9.1</v>
      </c>
    </row>
    <row r="537" spans="1:7" x14ac:dyDescent="0.35">
      <c r="A537" t="s">
        <v>78</v>
      </c>
      <c r="B537" t="s">
        <v>115</v>
      </c>
      <c r="C537" t="s">
        <v>32</v>
      </c>
      <c r="D537">
        <v>57</v>
      </c>
      <c r="E537">
        <v>60</v>
      </c>
      <c r="F537">
        <v>3</v>
      </c>
      <c r="G537">
        <v>5.3</v>
      </c>
    </row>
    <row r="538" spans="1:7" x14ac:dyDescent="0.35">
      <c r="A538" t="s">
        <v>79</v>
      </c>
      <c r="B538" t="s">
        <v>115</v>
      </c>
      <c r="C538" t="s">
        <v>32</v>
      </c>
      <c r="D538">
        <v>67</v>
      </c>
      <c r="E538">
        <v>58</v>
      </c>
      <c r="F538">
        <v>-9</v>
      </c>
      <c r="G538">
        <v>-13.4</v>
      </c>
    </row>
    <row r="539" spans="1:7" x14ac:dyDescent="0.35">
      <c r="A539" t="s">
        <v>80</v>
      </c>
      <c r="B539" t="s">
        <v>115</v>
      </c>
      <c r="C539" t="s">
        <v>32</v>
      </c>
      <c r="D539">
        <v>64</v>
      </c>
      <c r="E539">
        <v>51</v>
      </c>
      <c r="F539">
        <v>-13</v>
      </c>
      <c r="G539">
        <v>-20.3</v>
      </c>
    </row>
    <row r="540" spans="1:7" x14ac:dyDescent="0.35">
      <c r="A540" t="s">
        <v>81</v>
      </c>
      <c r="B540" t="s">
        <v>115</v>
      </c>
      <c r="C540" t="s">
        <v>32</v>
      </c>
      <c r="D540">
        <v>62</v>
      </c>
      <c r="E540">
        <v>56</v>
      </c>
      <c r="F540">
        <v>-6</v>
      </c>
      <c r="G540">
        <v>-9.6999999999999993</v>
      </c>
    </row>
    <row r="541" spans="1:7" x14ac:dyDescent="0.35">
      <c r="A541" t="s">
        <v>82</v>
      </c>
      <c r="B541" t="s">
        <v>115</v>
      </c>
      <c r="C541" t="s">
        <v>32</v>
      </c>
      <c r="D541">
        <v>66</v>
      </c>
      <c r="E541">
        <v>69</v>
      </c>
      <c r="F541">
        <v>3</v>
      </c>
      <c r="G541">
        <v>4.5</v>
      </c>
    </row>
    <row r="542" spans="1:7" x14ac:dyDescent="0.35">
      <c r="A542" t="s">
        <v>83</v>
      </c>
      <c r="B542" t="s">
        <v>115</v>
      </c>
      <c r="C542" t="s">
        <v>32</v>
      </c>
      <c r="D542">
        <v>72</v>
      </c>
      <c r="E542">
        <v>72</v>
      </c>
      <c r="F542">
        <v>0</v>
      </c>
      <c r="G542">
        <v>0</v>
      </c>
    </row>
    <row r="543" spans="1:7" x14ac:dyDescent="0.35">
      <c r="A543" t="s">
        <v>84</v>
      </c>
      <c r="B543" t="s">
        <v>115</v>
      </c>
      <c r="C543" t="s">
        <v>32</v>
      </c>
      <c r="D543">
        <v>72</v>
      </c>
      <c r="E543">
        <v>72</v>
      </c>
      <c r="F543">
        <v>0</v>
      </c>
      <c r="G543">
        <v>0</v>
      </c>
    </row>
    <row r="544" spans="1:7" x14ac:dyDescent="0.35">
      <c r="A544" t="s">
        <v>85</v>
      </c>
      <c r="B544" t="s">
        <v>115</v>
      </c>
      <c r="C544" t="s">
        <v>32</v>
      </c>
      <c r="D544">
        <v>73</v>
      </c>
      <c r="E544">
        <v>77</v>
      </c>
      <c r="F544">
        <v>4</v>
      </c>
      <c r="G544">
        <v>5.5</v>
      </c>
    </row>
    <row r="545" spans="1:7" x14ac:dyDescent="0.35">
      <c r="A545" t="s">
        <v>86</v>
      </c>
      <c r="B545" t="s">
        <v>115</v>
      </c>
      <c r="C545" t="s">
        <v>32</v>
      </c>
      <c r="D545">
        <v>75</v>
      </c>
      <c r="E545">
        <v>55</v>
      </c>
      <c r="F545">
        <v>-20</v>
      </c>
      <c r="G545">
        <v>-26.7</v>
      </c>
    </row>
    <row r="546" spans="1:7" x14ac:dyDescent="0.35">
      <c r="A546" t="s">
        <v>87</v>
      </c>
      <c r="B546" t="s">
        <v>115</v>
      </c>
      <c r="C546" t="s">
        <v>32</v>
      </c>
      <c r="D546">
        <v>71</v>
      </c>
      <c r="E546">
        <v>84</v>
      </c>
      <c r="F546">
        <v>13</v>
      </c>
      <c r="G546">
        <v>18.3</v>
      </c>
    </row>
    <row r="547" spans="1:7" x14ac:dyDescent="0.35">
      <c r="A547" t="s">
        <v>88</v>
      </c>
      <c r="B547" t="s">
        <v>115</v>
      </c>
      <c r="C547" t="s">
        <v>32</v>
      </c>
      <c r="D547">
        <v>82</v>
      </c>
      <c r="E547">
        <v>70</v>
      </c>
      <c r="F547">
        <v>-12</v>
      </c>
      <c r="G547">
        <v>-14.6</v>
      </c>
    </row>
    <row r="548" spans="1:7" x14ac:dyDescent="0.35">
      <c r="A548" t="s">
        <v>89</v>
      </c>
      <c r="B548" t="s">
        <v>115</v>
      </c>
      <c r="C548" t="s">
        <v>32</v>
      </c>
      <c r="D548">
        <v>72</v>
      </c>
      <c r="E548">
        <v>63</v>
      </c>
      <c r="F548">
        <v>-9</v>
      </c>
      <c r="G548">
        <v>-12.5</v>
      </c>
    </row>
    <row r="549" spans="1:7" x14ac:dyDescent="0.35">
      <c r="A549" t="s">
        <v>90</v>
      </c>
      <c r="B549" t="s">
        <v>115</v>
      </c>
      <c r="C549" t="s">
        <v>32</v>
      </c>
      <c r="D549">
        <v>81</v>
      </c>
      <c r="E549">
        <v>61</v>
      </c>
      <c r="F549">
        <v>-20</v>
      </c>
      <c r="G549">
        <v>-24.7</v>
      </c>
    </row>
    <row r="550" spans="1:7" x14ac:dyDescent="0.35">
      <c r="A550" t="s">
        <v>91</v>
      </c>
      <c r="B550" t="s">
        <v>115</v>
      </c>
      <c r="C550" t="s">
        <v>32</v>
      </c>
      <c r="D550">
        <v>84</v>
      </c>
      <c r="E550">
        <v>99</v>
      </c>
      <c r="F550">
        <v>15</v>
      </c>
      <c r="G550">
        <v>17.899999999999999</v>
      </c>
    </row>
    <row r="551" spans="1:7" x14ac:dyDescent="0.35">
      <c r="A551" t="s">
        <v>92</v>
      </c>
      <c r="B551" t="s">
        <v>115</v>
      </c>
      <c r="C551" t="s">
        <v>32</v>
      </c>
      <c r="D551">
        <v>75</v>
      </c>
      <c r="E551">
        <v>83</v>
      </c>
      <c r="F551">
        <v>8</v>
      </c>
      <c r="G551">
        <v>10.7</v>
      </c>
    </row>
    <row r="552" spans="1:7" x14ac:dyDescent="0.35">
      <c r="A552" t="s">
        <v>93</v>
      </c>
      <c r="B552" t="s">
        <v>115</v>
      </c>
      <c r="C552" t="s">
        <v>32</v>
      </c>
      <c r="D552">
        <v>81</v>
      </c>
      <c r="E552">
        <v>81</v>
      </c>
      <c r="F552">
        <v>0</v>
      </c>
      <c r="G552">
        <v>0</v>
      </c>
    </row>
    <row r="553" spans="1:7" x14ac:dyDescent="0.35">
      <c r="A553" t="s">
        <v>94</v>
      </c>
      <c r="B553" t="s">
        <v>115</v>
      </c>
      <c r="C553" t="s">
        <v>32</v>
      </c>
      <c r="D553">
        <v>78</v>
      </c>
      <c r="E553">
        <v>76</v>
      </c>
      <c r="F553">
        <v>-2</v>
      </c>
      <c r="G553">
        <v>-2.6</v>
      </c>
    </row>
    <row r="554" spans="1:7" x14ac:dyDescent="0.35">
      <c r="A554" t="s">
        <v>95</v>
      </c>
      <c r="B554" t="s">
        <v>115</v>
      </c>
      <c r="C554" t="s">
        <v>32</v>
      </c>
      <c r="D554">
        <v>83</v>
      </c>
      <c r="E554">
        <v>105</v>
      </c>
      <c r="F554">
        <v>22</v>
      </c>
      <c r="G554">
        <v>26.5</v>
      </c>
    </row>
    <row r="555" spans="1:7" x14ac:dyDescent="0.35">
      <c r="A555" t="s">
        <v>96</v>
      </c>
      <c r="B555" t="s">
        <v>115</v>
      </c>
      <c r="C555" t="s">
        <v>32</v>
      </c>
      <c r="D555">
        <v>89</v>
      </c>
      <c r="E555">
        <v>104</v>
      </c>
      <c r="F555">
        <v>15</v>
      </c>
      <c r="G555">
        <v>16.899999999999999</v>
      </c>
    </row>
    <row r="556" spans="1:7" x14ac:dyDescent="0.35">
      <c r="A556" t="s">
        <v>97</v>
      </c>
      <c r="B556" t="s">
        <v>115</v>
      </c>
      <c r="C556" t="s">
        <v>32</v>
      </c>
      <c r="D556">
        <v>83</v>
      </c>
      <c r="E556">
        <v>100</v>
      </c>
      <c r="F556">
        <v>17</v>
      </c>
      <c r="G556">
        <v>20.5</v>
      </c>
    </row>
    <row r="557" spans="1:7" x14ac:dyDescent="0.35">
      <c r="A557" t="s">
        <v>98</v>
      </c>
      <c r="B557" t="s">
        <v>115</v>
      </c>
      <c r="C557" t="s">
        <v>32</v>
      </c>
      <c r="D557">
        <v>82</v>
      </c>
      <c r="E557">
        <v>71</v>
      </c>
      <c r="F557">
        <v>-11</v>
      </c>
      <c r="G557">
        <v>-13.4</v>
      </c>
    </row>
    <row r="558" spans="1:7" x14ac:dyDescent="0.35">
      <c r="A558" t="s">
        <v>99</v>
      </c>
      <c r="B558" t="s">
        <v>115</v>
      </c>
      <c r="C558" t="s">
        <v>32</v>
      </c>
      <c r="D558">
        <v>91</v>
      </c>
      <c r="E558">
        <v>88</v>
      </c>
      <c r="F558">
        <v>-3</v>
      </c>
      <c r="G558">
        <v>-3.3</v>
      </c>
    </row>
    <row r="559" spans="1:7" x14ac:dyDescent="0.35">
      <c r="A559" t="s">
        <v>100</v>
      </c>
      <c r="B559" t="s">
        <v>115</v>
      </c>
      <c r="C559" t="s">
        <v>32</v>
      </c>
      <c r="D559">
        <v>95</v>
      </c>
      <c r="E559">
        <v>89</v>
      </c>
      <c r="F559">
        <v>-6</v>
      </c>
      <c r="G559">
        <v>-6.3</v>
      </c>
    </row>
    <row r="560" spans="1:7" x14ac:dyDescent="0.35">
      <c r="A560" t="s">
        <v>101</v>
      </c>
      <c r="B560" t="s">
        <v>115</v>
      </c>
      <c r="C560" t="s">
        <v>32</v>
      </c>
      <c r="D560">
        <v>89</v>
      </c>
      <c r="E560">
        <v>95</v>
      </c>
      <c r="F560">
        <v>6</v>
      </c>
      <c r="G560">
        <v>6.7</v>
      </c>
    </row>
    <row r="561" spans="1:7" x14ac:dyDescent="0.35">
      <c r="A561" t="s">
        <v>102</v>
      </c>
      <c r="B561" t="s">
        <v>115</v>
      </c>
      <c r="C561" t="s">
        <v>32</v>
      </c>
      <c r="D561">
        <v>93</v>
      </c>
      <c r="E561">
        <v>77</v>
      </c>
      <c r="F561">
        <v>-16</v>
      </c>
      <c r="G561">
        <v>-17.2</v>
      </c>
    </row>
    <row r="562" spans="1:7" x14ac:dyDescent="0.35">
      <c r="A562" t="s">
        <v>103</v>
      </c>
      <c r="B562" t="s">
        <v>115</v>
      </c>
      <c r="C562" t="s">
        <v>32</v>
      </c>
      <c r="D562">
        <v>101</v>
      </c>
      <c r="E562">
        <v>102</v>
      </c>
      <c r="F562">
        <v>1</v>
      </c>
      <c r="G562">
        <v>1</v>
      </c>
    </row>
    <row r="563" spans="1:7" x14ac:dyDescent="0.35">
      <c r="A563" t="s">
        <v>104</v>
      </c>
      <c r="B563" t="s">
        <v>115</v>
      </c>
      <c r="C563" t="s">
        <v>32</v>
      </c>
      <c r="D563">
        <v>98</v>
      </c>
      <c r="E563">
        <v>88</v>
      </c>
      <c r="F563">
        <v>-10</v>
      </c>
      <c r="G563">
        <v>-10.199999999999999</v>
      </c>
    </row>
    <row r="564" spans="1:7" x14ac:dyDescent="0.35">
      <c r="A564" t="s">
        <v>105</v>
      </c>
      <c r="B564" t="s">
        <v>115</v>
      </c>
      <c r="C564" t="s">
        <v>32</v>
      </c>
      <c r="D564">
        <v>92</v>
      </c>
      <c r="E564">
        <v>121</v>
      </c>
      <c r="F564">
        <v>29</v>
      </c>
      <c r="G564">
        <v>31.5</v>
      </c>
    </row>
    <row r="565" spans="1:7" x14ac:dyDescent="0.35">
      <c r="A565" t="s">
        <v>106</v>
      </c>
      <c r="B565" t="s">
        <v>115</v>
      </c>
      <c r="C565" t="s">
        <v>32</v>
      </c>
      <c r="D565">
        <v>89</v>
      </c>
      <c r="E565">
        <v>83</v>
      </c>
      <c r="F565">
        <v>-6</v>
      </c>
      <c r="G565">
        <v>-6.7</v>
      </c>
    </row>
    <row r="566" spans="1:7" x14ac:dyDescent="0.35">
      <c r="A566" t="s">
        <v>107</v>
      </c>
      <c r="B566" t="s">
        <v>115</v>
      </c>
      <c r="C566" t="s">
        <v>32</v>
      </c>
      <c r="D566">
        <v>106</v>
      </c>
      <c r="E566">
        <v>111</v>
      </c>
      <c r="F566">
        <v>5</v>
      </c>
      <c r="G566">
        <v>4.7</v>
      </c>
    </row>
    <row r="567" spans="1:7" x14ac:dyDescent="0.35">
      <c r="A567" t="s">
        <v>108</v>
      </c>
      <c r="B567" t="s">
        <v>115</v>
      </c>
      <c r="C567" t="s">
        <v>32</v>
      </c>
      <c r="D567">
        <v>103</v>
      </c>
      <c r="E567">
        <v>87</v>
      </c>
      <c r="F567">
        <v>-16</v>
      </c>
      <c r="G567">
        <v>-15.5</v>
      </c>
    </row>
    <row r="568" spans="1:7" x14ac:dyDescent="0.35">
      <c r="A568" t="s">
        <v>109</v>
      </c>
      <c r="B568" t="s">
        <v>115</v>
      </c>
      <c r="C568" t="s">
        <v>32</v>
      </c>
      <c r="D568">
        <v>90</v>
      </c>
      <c r="E568">
        <v>97</v>
      </c>
      <c r="F568">
        <v>7</v>
      </c>
      <c r="G568">
        <v>7.8</v>
      </c>
    </row>
    <row r="569" spans="1:7" x14ac:dyDescent="0.35">
      <c r="A569" t="s">
        <v>110</v>
      </c>
      <c r="B569" t="s">
        <v>115</v>
      </c>
      <c r="C569" t="s">
        <v>32</v>
      </c>
      <c r="D569">
        <v>96</v>
      </c>
      <c r="E569">
        <v>79</v>
      </c>
      <c r="F569">
        <v>-17</v>
      </c>
      <c r="G569">
        <v>-17.7</v>
      </c>
    </row>
    <row r="570" spans="1:7" x14ac:dyDescent="0.35">
      <c r="A570" t="s">
        <v>111</v>
      </c>
      <c r="B570" t="s">
        <v>115</v>
      </c>
      <c r="C570" t="s">
        <v>32</v>
      </c>
      <c r="D570">
        <v>98</v>
      </c>
      <c r="E570">
        <v>84</v>
      </c>
      <c r="F570">
        <v>-14</v>
      </c>
      <c r="G570">
        <v>-14.3</v>
      </c>
    </row>
    <row r="571" spans="1:7" x14ac:dyDescent="0.35">
      <c r="A571" t="s">
        <v>112</v>
      </c>
      <c r="B571" t="s">
        <v>115</v>
      </c>
      <c r="C571" t="s">
        <v>32</v>
      </c>
      <c r="D571">
        <v>99</v>
      </c>
      <c r="E571">
        <v>106</v>
      </c>
      <c r="F571">
        <v>7</v>
      </c>
      <c r="G571">
        <v>7.1</v>
      </c>
    </row>
    <row r="572" spans="1:7" x14ac:dyDescent="0.35">
      <c r="A572" t="s">
        <v>113</v>
      </c>
      <c r="B572" t="s">
        <v>115</v>
      </c>
      <c r="C572" t="s">
        <v>32</v>
      </c>
      <c r="D572">
        <v>95</v>
      </c>
      <c r="E572">
        <v>92</v>
      </c>
      <c r="F572">
        <v>-3</v>
      </c>
      <c r="G572">
        <v>-3.2</v>
      </c>
    </row>
    <row r="573" spans="1:7" x14ac:dyDescent="0.35">
      <c r="A573" t="s">
        <v>114</v>
      </c>
      <c r="B573" t="s">
        <v>115</v>
      </c>
      <c r="C573" t="s">
        <v>32</v>
      </c>
      <c r="D573">
        <v>102</v>
      </c>
      <c r="E573">
        <v>94</v>
      </c>
      <c r="F573">
        <v>-8</v>
      </c>
      <c r="G573">
        <v>-7.8</v>
      </c>
    </row>
    <row r="574" spans="1:7" x14ac:dyDescent="0.35">
      <c r="A574" t="s">
        <v>62</v>
      </c>
      <c r="B574" t="s">
        <v>115</v>
      </c>
      <c r="C574" t="s">
        <v>37</v>
      </c>
      <c r="D574">
        <v>68</v>
      </c>
      <c r="E574">
        <v>74</v>
      </c>
      <c r="F574">
        <v>6</v>
      </c>
      <c r="G574">
        <v>8.8000000000000007</v>
      </c>
    </row>
    <row r="575" spans="1:7" x14ac:dyDescent="0.35">
      <c r="A575" t="s">
        <v>64</v>
      </c>
      <c r="B575" t="s">
        <v>115</v>
      </c>
      <c r="C575" t="s">
        <v>37</v>
      </c>
      <c r="D575">
        <v>66</v>
      </c>
      <c r="E575">
        <v>67</v>
      </c>
      <c r="F575">
        <v>1</v>
      </c>
      <c r="G575">
        <v>1.5</v>
      </c>
    </row>
    <row r="576" spans="1:7" x14ac:dyDescent="0.35">
      <c r="A576" t="s">
        <v>65</v>
      </c>
      <c r="B576" t="s">
        <v>115</v>
      </c>
      <c r="C576" t="s">
        <v>37</v>
      </c>
      <c r="D576">
        <v>70</v>
      </c>
      <c r="E576">
        <v>64</v>
      </c>
      <c r="F576">
        <v>-6</v>
      </c>
      <c r="G576">
        <v>-8.6</v>
      </c>
    </row>
    <row r="577" spans="1:7" x14ac:dyDescent="0.35">
      <c r="A577" t="s">
        <v>66</v>
      </c>
      <c r="B577" t="s">
        <v>115</v>
      </c>
      <c r="C577" t="s">
        <v>37</v>
      </c>
      <c r="D577">
        <v>64</v>
      </c>
      <c r="E577">
        <v>53</v>
      </c>
      <c r="F577">
        <v>-11</v>
      </c>
      <c r="G577">
        <v>-17.2</v>
      </c>
    </row>
    <row r="578" spans="1:7" x14ac:dyDescent="0.35">
      <c r="A578" t="s">
        <v>67</v>
      </c>
      <c r="B578" t="s">
        <v>115</v>
      </c>
      <c r="C578" t="s">
        <v>37</v>
      </c>
      <c r="D578">
        <v>69</v>
      </c>
      <c r="E578">
        <v>83</v>
      </c>
      <c r="F578">
        <v>14</v>
      </c>
      <c r="G578">
        <v>20.3</v>
      </c>
    </row>
    <row r="579" spans="1:7" x14ac:dyDescent="0.35">
      <c r="A579" t="s">
        <v>68</v>
      </c>
      <c r="B579" t="s">
        <v>115</v>
      </c>
      <c r="C579" t="s">
        <v>37</v>
      </c>
      <c r="D579">
        <v>76</v>
      </c>
      <c r="E579">
        <v>86</v>
      </c>
      <c r="F579">
        <v>10</v>
      </c>
      <c r="G579">
        <v>13.2</v>
      </c>
    </row>
    <row r="580" spans="1:7" x14ac:dyDescent="0.35">
      <c r="A580" t="s">
        <v>69</v>
      </c>
      <c r="B580" t="s">
        <v>115</v>
      </c>
      <c r="C580" t="s">
        <v>37</v>
      </c>
      <c r="D580">
        <v>83</v>
      </c>
      <c r="E580">
        <v>61</v>
      </c>
      <c r="F580">
        <v>-22</v>
      </c>
      <c r="G580">
        <v>-26.5</v>
      </c>
    </row>
    <row r="581" spans="1:7" x14ac:dyDescent="0.35">
      <c r="A581" t="s">
        <v>70</v>
      </c>
      <c r="B581" t="s">
        <v>115</v>
      </c>
      <c r="C581" t="s">
        <v>37</v>
      </c>
      <c r="D581">
        <v>84</v>
      </c>
      <c r="E581">
        <v>69</v>
      </c>
      <c r="F581">
        <v>-15</v>
      </c>
      <c r="G581">
        <v>-17.899999999999999</v>
      </c>
    </row>
    <row r="582" spans="1:7" x14ac:dyDescent="0.35">
      <c r="A582" t="s">
        <v>71</v>
      </c>
      <c r="B582" t="s">
        <v>115</v>
      </c>
      <c r="C582" t="s">
        <v>37</v>
      </c>
      <c r="D582">
        <v>83</v>
      </c>
      <c r="E582">
        <v>82</v>
      </c>
      <c r="F582">
        <v>-1</v>
      </c>
      <c r="G582">
        <v>-1.2</v>
      </c>
    </row>
    <row r="583" spans="1:7" x14ac:dyDescent="0.35">
      <c r="A583" t="s">
        <v>72</v>
      </c>
      <c r="B583" t="s">
        <v>115</v>
      </c>
      <c r="C583" t="s">
        <v>37</v>
      </c>
      <c r="D583">
        <v>82</v>
      </c>
      <c r="E583">
        <v>76</v>
      </c>
      <c r="F583">
        <v>-6</v>
      </c>
      <c r="G583">
        <v>-7.3</v>
      </c>
    </row>
    <row r="584" spans="1:7" x14ac:dyDescent="0.35">
      <c r="A584" t="s">
        <v>73</v>
      </c>
      <c r="B584" t="s">
        <v>115</v>
      </c>
      <c r="C584" t="s">
        <v>37</v>
      </c>
      <c r="D584">
        <v>83</v>
      </c>
      <c r="E584">
        <v>79</v>
      </c>
      <c r="F584">
        <v>-4</v>
      </c>
      <c r="G584">
        <v>-4.8</v>
      </c>
    </row>
    <row r="585" spans="1:7" x14ac:dyDescent="0.35">
      <c r="A585" t="s">
        <v>74</v>
      </c>
      <c r="B585" t="s">
        <v>115</v>
      </c>
      <c r="C585" t="s">
        <v>37</v>
      </c>
      <c r="D585">
        <v>82</v>
      </c>
      <c r="E585">
        <v>89</v>
      </c>
      <c r="F585">
        <v>7</v>
      </c>
      <c r="G585">
        <v>8.5</v>
      </c>
    </row>
    <row r="586" spans="1:7" x14ac:dyDescent="0.35">
      <c r="A586" t="s">
        <v>75</v>
      </c>
      <c r="B586" t="s">
        <v>115</v>
      </c>
      <c r="C586" t="s">
        <v>37</v>
      </c>
      <c r="D586">
        <v>84</v>
      </c>
      <c r="E586">
        <v>91</v>
      </c>
      <c r="F586">
        <v>7</v>
      </c>
      <c r="G586">
        <v>8.3000000000000007</v>
      </c>
    </row>
    <row r="587" spans="1:7" x14ac:dyDescent="0.35">
      <c r="A587" t="s">
        <v>76</v>
      </c>
      <c r="B587" t="s">
        <v>115</v>
      </c>
      <c r="C587" t="s">
        <v>37</v>
      </c>
      <c r="D587">
        <v>100</v>
      </c>
      <c r="E587">
        <v>86</v>
      </c>
      <c r="F587">
        <v>-14</v>
      </c>
      <c r="G587">
        <v>-14</v>
      </c>
    </row>
    <row r="588" spans="1:7" x14ac:dyDescent="0.35">
      <c r="A588" t="s">
        <v>77</v>
      </c>
      <c r="B588" t="s">
        <v>115</v>
      </c>
      <c r="C588" t="s">
        <v>37</v>
      </c>
      <c r="D588">
        <v>100</v>
      </c>
      <c r="E588">
        <v>111</v>
      </c>
      <c r="F588">
        <v>11</v>
      </c>
      <c r="G588">
        <v>11</v>
      </c>
    </row>
    <row r="589" spans="1:7" x14ac:dyDescent="0.35">
      <c r="A589" t="s">
        <v>78</v>
      </c>
      <c r="B589" t="s">
        <v>115</v>
      </c>
      <c r="C589" t="s">
        <v>37</v>
      </c>
      <c r="D589">
        <v>104</v>
      </c>
      <c r="E589">
        <v>85</v>
      </c>
      <c r="F589">
        <v>-19</v>
      </c>
      <c r="G589">
        <v>-18.3</v>
      </c>
    </row>
    <row r="590" spans="1:7" x14ac:dyDescent="0.35">
      <c r="A590" t="s">
        <v>79</v>
      </c>
      <c r="B590" t="s">
        <v>115</v>
      </c>
      <c r="C590" t="s">
        <v>37</v>
      </c>
      <c r="D590">
        <v>93</v>
      </c>
      <c r="E590">
        <v>85</v>
      </c>
      <c r="F590">
        <v>-8</v>
      </c>
      <c r="G590">
        <v>-8.6</v>
      </c>
    </row>
    <row r="591" spans="1:7" x14ac:dyDescent="0.35">
      <c r="A591" t="s">
        <v>80</v>
      </c>
      <c r="B591" t="s">
        <v>115</v>
      </c>
      <c r="C591" t="s">
        <v>37</v>
      </c>
      <c r="D591">
        <v>104</v>
      </c>
      <c r="E591">
        <v>116</v>
      </c>
      <c r="F591">
        <v>12</v>
      </c>
      <c r="G591">
        <v>11.5</v>
      </c>
    </row>
    <row r="592" spans="1:7" x14ac:dyDescent="0.35">
      <c r="A592" t="s">
        <v>81</v>
      </c>
      <c r="B592" t="s">
        <v>115</v>
      </c>
      <c r="C592" t="s">
        <v>37</v>
      </c>
      <c r="D592">
        <v>108</v>
      </c>
      <c r="E592">
        <v>88</v>
      </c>
      <c r="F592">
        <v>-20</v>
      </c>
      <c r="G592">
        <v>-18.5</v>
      </c>
    </row>
    <row r="593" spans="1:7" x14ac:dyDescent="0.35">
      <c r="A593" t="s">
        <v>82</v>
      </c>
      <c r="B593" t="s">
        <v>115</v>
      </c>
      <c r="C593" t="s">
        <v>37</v>
      </c>
      <c r="D593">
        <v>113</v>
      </c>
      <c r="E593">
        <v>107</v>
      </c>
      <c r="F593">
        <v>-6</v>
      </c>
      <c r="G593">
        <v>-5.3</v>
      </c>
    </row>
    <row r="594" spans="1:7" x14ac:dyDescent="0.35">
      <c r="A594" t="s">
        <v>83</v>
      </c>
      <c r="B594" t="s">
        <v>115</v>
      </c>
      <c r="C594" t="s">
        <v>37</v>
      </c>
      <c r="D594">
        <v>115</v>
      </c>
      <c r="E594">
        <v>124</v>
      </c>
      <c r="F594">
        <v>9</v>
      </c>
      <c r="G594">
        <v>7.8</v>
      </c>
    </row>
    <row r="595" spans="1:7" x14ac:dyDescent="0.35">
      <c r="A595" t="s">
        <v>84</v>
      </c>
      <c r="B595" t="s">
        <v>115</v>
      </c>
      <c r="C595" t="s">
        <v>37</v>
      </c>
      <c r="D595">
        <v>111</v>
      </c>
      <c r="E595">
        <v>136</v>
      </c>
      <c r="F595">
        <v>25</v>
      </c>
      <c r="G595">
        <v>22.5</v>
      </c>
    </row>
    <row r="596" spans="1:7" x14ac:dyDescent="0.35">
      <c r="A596" t="s">
        <v>85</v>
      </c>
      <c r="B596" t="s">
        <v>115</v>
      </c>
      <c r="C596" t="s">
        <v>37</v>
      </c>
      <c r="D596">
        <v>116</v>
      </c>
      <c r="E596">
        <v>122</v>
      </c>
      <c r="F596">
        <v>6</v>
      </c>
      <c r="G596">
        <v>5.2</v>
      </c>
    </row>
    <row r="597" spans="1:7" x14ac:dyDescent="0.35">
      <c r="A597" t="s">
        <v>86</v>
      </c>
      <c r="B597" t="s">
        <v>115</v>
      </c>
      <c r="C597" t="s">
        <v>37</v>
      </c>
      <c r="D597">
        <v>119</v>
      </c>
      <c r="E597">
        <v>138</v>
      </c>
      <c r="F597">
        <v>19</v>
      </c>
      <c r="G597">
        <v>16</v>
      </c>
    </row>
    <row r="598" spans="1:7" x14ac:dyDescent="0.35">
      <c r="A598" t="s">
        <v>87</v>
      </c>
      <c r="B598" t="s">
        <v>115</v>
      </c>
      <c r="C598" t="s">
        <v>37</v>
      </c>
      <c r="D598">
        <v>122</v>
      </c>
      <c r="E598">
        <v>98</v>
      </c>
      <c r="F598">
        <v>-24</v>
      </c>
      <c r="G598">
        <v>-19.7</v>
      </c>
    </row>
    <row r="599" spans="1:7" x14ac:dyDescent="0.35">
      <c r="A599" t="s">
        <v>88</v>
      </c>
      <c r="B599" t="s">
        <v>115</v>
      </c>
      <c r="C599" t="s">
        <v>37</v>
      </c>
      <c r="D599">
        <v>111</v>
      </c>
      <c r="E599">
        <v>118</v>
      </c>
      <c r="F599">
        <v>7</v>
      </c>
      <c r="G599">
        <v>6.3</v>
      </c>
    </row>
    <row r="600" spans="1:7" x14ac:dyDescent="0.35">
      <c r="A600" t="s">
        <v>89</v>
      </c>
      <c r="B600" t="s">
        <v>115</v>
      </c>
      <c r="C600" t="s">
        <v>37</v>
      </c>
      <c r="D600">
        <v>119</v>
      </c>
      <c r="E600">
        <v>110</v>
      </c>
      <c r="F600">
        <v>-9</v>
      </c>
      <c r="G600">
        <v>-7.6</v>
      </c>
    </row>
    <row r="601" spans="1:7" x14ac:dyDescent="0.35">
      <c r="A601" t="s">
        <v>90</v>
      </c>
      <c r="B601" t="s">
        <v>115</v>
      </c>
      <c r="C601" t="s">
        <v>37</v>
      </c>
      <c r="D601">
        <v>115</v>
      </c>
      <c r="E601">
        <v>126</v>
      </c>
      <c r="F601">
        <v>11</v>
      </c>
      <c r="G601">
        <v>9.6</v>
      </c>
    </row>
    <row r="602" spans="1:7" x14ac:dyDescent="0.35">
      <c r="A602" t="s">
        <v>91</v>
      </c>
      <c r="B602" t="s">
        <v>115</v>
      </c>
      <c r="C602" t="s">
        <v>37</v>
      </c>
      <c r="D602">
        <v>123</v>
      </c>
      <c r="E602">
        <v>125</v>
      </c>
      <c r="F602">
        <v>2</v>
      </c>
      <c r="G602">
        <v>1.6</v>
      </c>
    </row>
    <row r="603" spans="1:7" x14ac:dyDescent="0.35">
      <c r="A603" t="s">
        <v>92</v>
      </c>
      <c r="B603" t="s">
        <v>115</v>
      </c>
      <c r="C603" t="s">
        <v>37</v>
      </c>
      <c r="D603">
        <v>119</v>
      </c>
      <c r="E603">
        <v>152</v>
      </c>
      <c r="F603">
        <v>33</v>
      </c>
      <c r="G603">
        <v>27.7</v>
      </c>
    </row>
    <row r="604" spans="1:7" x14ac:dyDescent="0.35">
      <c r="A604" t="s">
        <v>93</v>
      </c>
      <c r="B604" t="s">
        <v>115</v>
      </c>
      <c r="C604" t="s">
        <v>37</v>
      </c>
      <c r="D604">
        <v>122</v>
      </c>
      <c r="E604">
        <v>157</v>
      </c>
      <c r="F604">
        <v>35</v>
      </c>
      <c r="G604">
        <v>28.7</v>
      </c>
    </row>
    <row r="605" spans="1:7" x14ac:dyDescent="0.35">
      <c r="A605" t="s">
        <v>94</v>
      </c>
      <c r="B605" t="s">
        <v>115</v>
      </c>
      <c r="C605" t="s">
        <v>37</v>
      </c>
      <c r="D605">
        <v>145</v>
      </c>
      <c r="E605">
        <v>143</v>
      </c>
      <c r="F605">
        <v>-2</v>
      </c>
      <c r="G605">
        <v>-1.4</v>
      </c>
    </row>
    <row r="606" spans="1:7" x14ac:dyDescent="0.35">
      <c r="A606" t="s">
        <v>95</v>
      </c>
      <c r="B606" t="s">
        <v>115</v>
      </c>
      <c r="C606" t="s">
        <v>37</v>
      </c>
      <c r="D606">
        <v>138</v>
      </c>
      <c r="E606">
        <v>135</v>
      </c>
      <c r="F606">
        <v>-3</v>
      </c>
      <c r="G606">
        <v>-2.2000000000000002</v>
      </c>
    </row>
    <row r="607" spans="1:7" x14ac:dyDescent="0.35">
      <c r="A607" t="s">
        <v>96</v>
      </c>
      <c r="B607" t="s">
        <v>115</v>
      </c>
      <c r="C607" t="s">
        <v>37</v>
      </c>
      <c r="D607">
        <v>142</v>
      </c>
      <c r="E607">
        <v>161</v>
      </c>
      <c r="F607">
        <v>19</v>
      </c>
      <c r="G607">
        <v>13.4</v>
      </c>
    </row>
    <row r="608" spans="1:7" x14ac:dyDescent="0.35">
      <c r="A608" t="s">
        <v>97</v>
      </c>
      <c r="B608" t="s">
        <v>115</v>
      </c>
      <c r="C608" t="s">
        <v>37</v>
      </c>
      <c r="D608">
        <v>154</v>
      </c>
      <c r="E608">
        <v>139</v>
      </c>
      <c r="F608">
        <v>-15</v>
      </c>
      <c r="G608">
        <v>-9.6999999999999993</v>
      </c>
    </row>
    <row r="609" spans="1:7" x14ac:dyDescent="0.35">
      <c r="A609" t="s">
        <v>98</v>
      </c>
      <c r="B609" t="s">
        <v>115</v>
      </c>
      <c r="C609" t="s">
        <v>37</v>
      </c>
      <c r="D609">
        <v>154</v>
      </c>
      <c r="E609">
        <v>156</v>
      </c>
      <c r="F609">
        <v>2</v>
      </c>
      <c r="G609">
        <v>1.3</v>
      </c>
    </row>
    <row r="610" spans="1:7" x14ac:dyDescent="0.35">
      <c r="A610" t="s">
        <v>99</v>
      </c>
      <c r="B610" t="s">
        <v>115</v>
      </c>
      <c r="C610" t="s">
        <v>37</v>
      </c>
      <c r="D610">
        <v>142</v>
      </c>
      <c r="E610">
        <v>145</v>
      </c>
      <c r="F610">
        <v>3</v>
      </c>
      <c r="G610">
        <v>2.1</v>
      </c>
    </row>
    <row r="611" spans="1:7" x14ac:dyDescent="0.35">
      <c r="A611" t="s">
        <v>100</v>
      </c>
      <c r="B611" t="s">
        <v>115</v>
      </c>
      <c r="C611" t="s">
        <v>37</v>
      </c>
      <c r="D611">
        <v>139</v>
      </c>
      <c r="E611">
        <v>117</v>
      </c>
      <c r="F611">
        <v>-22</v>
      </c>
      <c r="G611">
        <v>-15.8</v>
      </c>
    </row>
    <row r="612" spans="1:7" x14ac:dyDescent="0.35">
      <c r="A612" t="s">
        <v>101</v>
      </c>
      <c r="B612" t="s">
        <v>115</v>
      </c>
      <c r="C612" t="s">
        <v>37</v>
      </c>
      <c r="D612">
        <v>140</v>
      </c>
      <c r="E612">
        <v>182</v>
      </c>
      <c r="F612">
        <v>42</v>
      </c>
      <c r="G612">
        <v>30</v>
      </c>
    </row>
    <row r="613" spans="1:7" x14ac:dyDescent="0.35">
      <c r="A613" t="s">
        <v>102</v>
      </c>
      <c r="B613" t="s">
        <v>115</v>
      </c>
      <c r="C613" t="s">
        <v>37</v>
      </c>
      <c r="D613">
        <v>149</v>
      </c>
      <c r="E613">
        <v>171</v>
      </c>
      <c r="F613">
        <v>22</v>
      </c>
      <c r="G613">
        <v>14.8</v>
      </c>
    </row>
    <row r="614" spans="1:7" x14ac:dyDescent="0.35">
      <c r="A614" t="s">
        <v>103</v>
      </c>
      <c r="B614" t="s">
        <v>115</v>
      </c>
      <c r="C614" t="s">
        <v>37</v>
      </c>
      <c r="D614">
        <v>157</v>
      </c>
      <c r="E614">
        <v>131</v>
      </c>
      <c r="F614">
        <v>-26</v>
      </c>
      <c r="G614">
        <v>-16.600000000000001</v>
      </c>
    </row>
    <row r="615" spans="1:7" x14ac:dyDescent="0.35">
      <c r="A615" t="s">
        <v>104</v>
      </c>
      <c r="B615" t="s">
        <v>115</v>
      </c>
      <c r="C615" t="s">
        <v>37</v>
      </c>
      <c r="D615">
        <v>149</v>
      </c>
      <c r="E615">
        <v>152</v>
      </c>
      <c r="F615">
        <v>3</v>
      </c>
      <c r="G615">
        <v>2</v>
      </c>
    </row>
    <row r="616" spans="1:7" x14ac:dyDescent="0.35">
      <c r="A616" t="s">
        <v>105</v>
      </c>
      <c r="B616" t="s">
        <v>115</v>
      </c>
      <c r="C616" t="s">
        <v>37</v>
      </c>
      <c r="D616">
        <v>155</v>
      </c>
      <c r="E616">
        <v>158</v>
      </c>
      <c r="F616">
        <v>3</v>
      </c>
      <c r="G616">
        <v>1.9</v>
      </c>
    </row>
    <row r="617" spans="1:7" x14ac:dyDescent="0.35">
      <c r="A617" t="s">
        <v>106</v>
      </c>
      <c r="B617" t="s">
        <v>115</v>
      </c>
      <c r="C617" t="s">
        <v>37</v>
      </c>
      <c r="D617">
        <v>146</v>
      </c>
      <c r="E617">
        <v>147</v>
      </c>
      <c r="F617">
        <v>1</v>
      </c>
      <c r="G617">
        <v>0.7</v>
      </c>
    </row>
    <row r="618" spans="1:7" x14ac:dyDescent="0.35">
      <c r="A618" t="s">
        <v>107</v>
      </c>
      <c r="B618" t="s">
        <v>115</v>
      </c>
      <c r="C618" t="s">
        <v>37</v>
      </c>
      <c r="D618">
        <v>150</v>
      </c>
      <c r="E618">
        <v>149</v>
      </c>
      <c r="F618">
        <v>-1</v>
      </c>
      <c r="G618">
        <v>-0.7</v>
      </c>
    </row>
    <row r="619" spans="1:7" x14ac:dyDescent="0.35">
      <c r="A619" t="s">
        <v>108</v>
      </c>
      <c r="B619" t="s">
        <v>115</v>
      </c>
      <c r="C619" t="s">
        <v>37</v>
      </c>
      <c r="D619">
        <v>151</v>
      </c>
      <c r="E619">
        <v>164</v>
      </c>
      <c r="F619">
        <v>13</v>
      </c>
      <c r="G619">
        <v>8.6</v>
      </c>
    </row>
    <row r="620" spans="1:7" x14ac:dyDescent="0.35">
      <c r="A620" t="s">
        <v>109</v>
      </c>
      <c r="B620" t="s">
        <v>115</v>
      </c>
      <c r="C620" t="s">
        <v>37</v>
      </c>
      <c r="D620">
        <v>166</v>
      </c>
      <c r="E620">
        <v>168</v>
      </c>
      <c r="F620">
        <v>2</v>
      </c>
      <c r="G620">
        <v>1.2</v>
      </c>
    </row>
    <row r="621" spans="1:7" x14ac:dyDescent="0.35">
      <c r="A621" t="s">
        <v>110</v>
      </c>
      <c r="B621" t="s">
        <v>115</v>
      </c>
      <c r="C621" t="s">
        <v>37</v>
      </c>
      <c r="D621">
        <v>143</v>
      </c>
      <c r="E621">
        <v>125</v>
      </c>
      <c r="F621">
        <v>-18</v>
      </c>
      <c r="G621">
        <v>-12.6</v>
      </c>
    </row>
    <row r="622" spans="1:7" x14ac:dyDescent="0.35">
      <c r="A622" t="s">
        <v>111</v>
      </c>
      <c r="B622" t="s">
        <v>115</v>
      </c>
      <c r="C622" t="s">
        <v>37</v>
      </c>
      <c r="D622">
        <v>162</v>
      </c>
      <c r="E622">
        <v>140</v>
      </c>
      <c r="F622">
        <v>-22</v>
      </c>
      <c r="G622">
        <v>-13.6</v>
      </c>
    </row>
    <row r="623" spans="1:7" x14ac:dyDescent="0.35">
      <c r="A623" t="s">
        <v>112</v>
      </c>
      <c r="B623" t="s">
        <v>115</v>
      </c>
      <c r="C623" t="s">
        <v>37</v>
      </c>
      <c r="D623">
        <v>164</v>
      </c>
      <c r="E623">
        <v>169</v>
      </c>
      <c r="F623">
        <v>5</v>
      </c>
      <c r="G623">
        <v>3</v>
      </c>
    </row>
    <row r="624" spans="1:7" x14ac:dyDescent="0.35">
      <c r="A624" t="s">
        <v>113</v>
      </c>
      <c r="B624" t="s">
        <v>115</v>
      </c>
      <c r="C624" t="s">
        <v>37</v>
      </c>
      <c r="D624">
        <v>169</v>
      </c>
      <c r="E624">
        <v>186</v>
      </c>
      <c r="F624">
        <v>17</v>
      </c>
      <c r="G624">
        <v>10.1</v>
      </c>
    </row>
    <row r="625" spans="1:7" x14ac:dyDescent="0.35">
      <c r="A625" t="s">
        <v>114</v>
      </c>
      <c r="B625" t="s">
        <v>115</v>
      </c>
      <c r="C625" t="s">
        <v>37</v>
      </c>
      <c r="D625">
        <v>151</v>
      </c>
      <c r="E625">
        <v>163</v>
      </c>
      <c r="F625">
        <v>12</v>
      </c>
      <c r="G625">
        <v>7.9</v>
      </c>
    </row>
    <row r="626" spans="1:7" x14ac:dyDescent="0.35">
      <c r="A626" t="s">
        <v>62</v>
      </c>
      <c r="B626" t="s">
        <v>116</v>
      </c>
      <c r="C626" t="s">
        <v>8</v>
      </c>
      <c r="D626">
        <v>32</v>
      </c>
      <c r="E626">
        <v>27</v>
      </c>
      <c r="F626">
        <v>-5</v>
      </c>
      <c r="G626">
        <v>-15.6</v>
      </c>
    </row>
    <row r="627" spans="1:7" x14ac:dyDescent="0.35">
      <c r="A627" t="s">
        <v>64</v>
      </c>
      <c r="B627" t="s">
        <v>116</v>
      </c>
      <c r="C627" t="s">
        <v>8</v>
      </c>
      <c r="D627">
        <v>32</v>
      </c>
      <c r="E627">
        <v>34</v>
      </c>
      <c r="F627">
        <v>2</v>
      </c>
      <c r="G627">
        <v>6.2</v>
      </c>
    </row>
    <row r="628" spans="1:7" x14ac:dyDescent="0.35">
      <c r="A628" t="s">
        <v>65</v>
      </c>
      <c r="B628" t="s">
        <v>116</v>
      </c>
      <c r="C628" t="s">
        <v>8</v>
      </c>
      <c r="D628">
        <v>30</v>
      </c>
      <c r="E628">
        <v>36</v>
      </c>
      <c r="F628">
        <v>6</v>
      </c>
      <c r="G628">
        <v>20</v>
      </c>
    </row>
    <row r="629" spans="1:7" x14ac:dyDescent="0.35">
      <c r="A629" t="s">
        <v>66</v>
      </c>
      <c r="B629" t="s">
        <v>116</v>
      </c>
      <c r="C629" t="s">
        <v>8</v>
      </c>
      <c r="D629">
        <v>31</v>
      </c>
      <c r="E629">
        <v>34</v>
      </c>
      <c r="F629">
        <v>3</v>
      </c>
      <c r="G629">
        <v>9.6999999999999993</v>
      </c>
    </row>
    <row r="630" spans="1:7" x14ac:dyDescent="0.35">
      <c r="A630" t="s">
        <v>67</v>
      </c>
      <c r="B630" t="s">
        <v>116</v>
      </c>
      <c r="C630" t="s">
        <v>8</v>
      </c>
      <c r="D630">
        <v>35</v>
      </c>
      <c r="E630">
        <v>31</v>
      </c>
      <c r="F630">
        <v>-4</v>
      </c>
      <c r="G630">
        <v>-11.4</v>
      </c>
    </row>
    <row r="631" spans="1:7" x14ac:dyDescent="0.35">
      <c r="A631" t="s">
        <v>68</v>
      </c>
      <c r="B631" t="s">
        <v>116</v>
      </c>
      <c r="C631" t="s">
        <v>8</v>
      </c>
      <c r="D631">
        <v>33</v>
      </c>
      <c r="E631">
        <v>39</v>
      </c>
      <c r="F631">
        <v>6</v>
      </c>
      <c r="G631">
        <v>18.2</v>
      </c>
    </row>
    <row r="632" spans="1:7" x14ac:dyDescent="0.35">
      <c r="A632" t="s">
        <v>69</v>
      </c>
      <c r="B632" t="s">
        <v>116</v>
      </c>
      <c r="C632" t="s">
        <v>8</v>
      </c>
      <c r="D632">
        <v>40</v>
      </c>
      <c r="E632">
        <v>46</v>
      </c>
      <c r="F632">
        <v>6</v>
      </c>
      <c r="G632">
        <v>15</v>
      </c>
    </row>
    <row r="633" spans="1:7" x14ac:dyDescent="0.35">
      <c r="A633" t="s">
        <v>70</v>
      </c>
      <c r="B633" t="s">
        <v>116</v>
      </c>
      <c r="C633" t="s">
        <v>8</v>
      </c>
      <c r="D633">
        <v>41</v>
      </c>
      <c r="E633">
        <v>30</v>
      </c>
      <c r="F633">
        <v>-11</v>
      </c>
      <c r="G633">
        <v>-26.8</v>
      </c>
    </row>
    <row r="634" spans="1:7" x14ac:dyDescent="0.35">
      <c r="A634" t="s">
        <v>71</v>
      </c>
      <c r="B634" t="s">
        <v>116</v>
      </c>
      <c r="C634" t="s">
        <v>8</v>
      </c>
      <c r="D634">
        <v>40</v>
      </c>
      <c r="E634">
        <v>39</v>
      </c>
      <c r="F634">
        <v>-1</v>
      </c>
      <c r="G634">
        <v>-2.5</v>
      </c>
    </row>
    <row r="635" spans="1:7" x14ac:dyDescent="0.35">
      <c r="A635" t="s">
        <v>72</v>
      </c>
      <c r="B635" t="s">
        <v>116</v>
      </c>
      <c r="C635" t="s">
        <v>8</v>
      </c>
      <c r="D635">
        <v>36</v>
      </c>
      <c r="E635">
        <v>36</v>
      </c>
      <c r="F635">
        <v>0</v>
      </c>
      <c r="G635">
        <v>0</v>
      </c>
    </row>
    <row r="636" spans="1:7" x14ac:dyDescent="0.35">
      <c r="A636" t="s">
        <v>73</v>
      </c>
      <c r="B636" t="s">
        <v>116</v>
      </c>
      <c r="C636" t="s">
        <v>8</v>
      </c>
      <c r="D636">
        <v>45</v>
      </c>
      <c r="E636">
        <v>38</v>
      </c>
      <c r="F636">
        <v>-7</v>
      </c>
      <c r="G636">
        <v>-15.6</v>
      </c>
    </row>
    <row r="637" spans="1:7" x14ac:dyDescent="0.35">
      <c r="A637" t="s">
        <v>74</v>
      </c>
      <c r="B637" t="s">
        <v>116</v>
      </c>
      <c r="C637" t="s">
        <v>8</v>
      </c>
      <c r="D637">
        <v>45</v>
      </c>
      <c r="E637">
        <v>36</v>
      </c>
      <c r="F637">
        <v>-9</v>
      </c>
      <c r="G637">
        <v>-20</v>
      </c>
    </row>
    <row r="638" spans="1:7" x14ac:dyDescent="0.35">
      <c r="A638" t="s">
        <v>75</v>
      </c>
      <c r="B638" t="s">
        <v>116</v>
      </c>
      <c r="C638" t="s">
        <v>8</v>
      </c>
      <c r="D638">
        <v>48</v>
      </c>
      <c r="E638">
        <v>36</v>
      </c>
      <c r="F638">
        <v>-12</v>
      </c>
      <c r="G638">
        <v>-25</v>
      </c>
    </row>
    <row r="639" spans="1:7" x14ac:dyDescent="0.35">
      <c r="A639" t="s">
        <v>76</v>
      </c>
      <c r="B639" t="s">
        <v>116</v>
      </c>
      <c r="C639" t="s">
        <v>8</v>
      </c>
      <c r="D639">
        <v>43</v>
      </c>
      <c r="E639">
        <v>51</v>
      </c>
      <c r="F639">
        <v>8</v>
      </c>
      <c r="G639">
        <v>18.600000000000001</v>
      </c>
    </row>
    <row r="640" spans="1:7" x14ac:dyDescent="0.35">
      <c r="A640" t="s">
        <v>77</v>
      </c>
      <c r="B640" t="s">
        <v>116</v>
      </c>
      <c r="C640" t="s">
        <v>8</v>
      </c>
      <c r="D640">
        <v>46</v>
      </c>
      <c r="E640">
        <v>47</v>
      </c>
      <c r="F640">
        <v>1</v>
      </c>
      <c r="G640">
        <v>2.2000000000000002</v>
      </c>
    </row>
    <row r="641" spans="1:7" x14ac:dyDescent="0.35">
      <c r="A641" t="s">
        <v>78</v>
      </c>
      <c r="B641" t="s">
        <v>116</v>
      </c>
      <c r="C641" t="s">
        <v>8</v>
      </c>
      <c r="D641">
        <v>49</v>
      </c>
      <c r="E641">
        <v>48</v>
      </c>
      <c r="F641">
        <v>-1</v>
      </c>
      <c r="G641">
        <v>-2</v>
      </c>
    </row>
    <row r="642" spans="1:7" x14ac:dyDescent="0.35">
      <c r="A642" t="s">
        <v>79</v>
      </c>
      <c r="B642" t="s">
        <v>116</v>
      </c>
      <c r="C642" t="s">
        <v>8</v>
      </c>
      <c r="D642">
        <v>50</v>
      </c>
      <c r="E642">
        <v>57</v>
      </c>
      <c r="F642">
        <v>7</v>
      </c>
      <c r="G642">
        <v>14</v>
      </c>
    </row>
    <row r="643" spans="1:7" x14ac:dyDescent="0.35">
      <c r="A643" t="s">
        <v>80</v>
      </c>
      <c r="B643" t="s">
        <v>116</v>
      </c>
      <c r="C643" t="s">
        <v>8</v>
      </c>
      <c r="D643">
        <v>50</v>
      </c>
      <c r="E643">
        <v>52</v>
      </c>
      <c r="F643">
        <v>2</v>
      </c>
      <c r="G643">
        <v>4</v>
      </c>
    </row>
    <row r="644" spans="1:7" x14ac:dyDescent="0.35">
      <c r="A644" t="s">
        <v>81</v>
      </c>
      <c r="B644" t="s">
        <v>116</v>
      </c>
      <c r="C644" t="s">
        <v>8</v>
      </c>
      <c r="D644">
        <v>47</v>
      </c>
      <c r="E644">
        <v>42</v>
      </c>
      <c r="F644">
        <v>-5</v>
      </c>
      <c r="G644">
        <v>-10.6</v>
      </c>
    </row>
    <row r="645" spans="1:7" x14ac:dyDescent="0.35">
      <c r="A645" t="s">
        <v>82</v>
      </c>
      <c r="B645" t="s">
        <v>116</v>
      </c>
      <c r="C645" t="s">
        <v>8</v>
      </c>
      <c r="D645">
        <v>54</v>
      </c>
      <c r="E645">
        <v>55</v>
      </c>
      <c r="F645">
        <v>1</v>
      </c>
      <c r="G645">
        <v>1.9</v>
      </c>
    </row>
    <row r="646" spans="1:7" x14ac:dyDescent="0.35">
      <c r="A646" t="s">
        <v>83</v>
      </c>
      <c r="B646" t="s">
        <v>116</v>
      </c>
      <c r="C646" t="s">
        <v>8</v>
      </c>
      <c r="D646">
        <v>57</v>
      </c>
      <c r="E646">
        <v>26</v>
      </c>
      <c r="F646">
        <v>-31</v>
      </c>
      <c r="G646">
        <v>-54.4</v>
      </c>
    </row>
    <row r="647" spans="1:7" x14ac:dyDescent="0.35">
      <c r="A647" t="s">
        <v>84</v>
      </c>
      <c r="B647" t="s">
        <v>116</v>
      </c>
      <c r="C647" t="s">
        <v>8</v>
      </c>
      <c r="D647">
        <v>49</v>
      </c>
      <c r="E647">
        <v>22</v>
      </c>
      <c r="F647">
        <v>-27</v>
      </c>
      <c r="G647">
        <v>-55.1</v>
      </c>
    </row>
    <row r="648" spans="1:7" x14ac:dyDescent="0.35">
      <c r="A648" t="s">
        <v>85</v>
      </c>
      <c r="B648" t="s">
        <v>116</v>
      </c>
      <c r="C648" t="s">
        <v>8</v>
      </c>
      <c r="D648">
        <v>57</v>
      </c>
      <c r="E648">
        <v>30</v>
      </c>
      <c r="F648">
        <v>-27</v>
      </c>
      <c r="G648">
        <v>-47.4</v>
      </c>
    </row>
    <row r="649" spans="1:7" x14ac:dyDescent="0.35">
      <c r="A649" t="s">
        <v>86</v>
      </c>
      <c r="B649" t="s">
        <v>116</v>
      </c>
      <c r="C649" t="s">
        <v>8</v>
      </c>
      <c r="D649">
        <v>57</v>
      </c>
      <c r="E649">
        <v>28</v>
      </c>
      <c r="F649">
        <v>-29</v>
      </c>
      <c r="G649">
        <v>-50.9</v>
      </c>
    </row>
    <row r="650" spans="1:7" x14ac:dyDescent="0.35">
      <c r="A650" t="s">
        <v>87</v>
      </c>
      <c r="B650" t="s">
        <v>116</v>
      </c>
      <c r="C650" t="s">
        <v>8</v>
      </c>
      <c r="D650">
        <v>61</v>
      </c>
      <c r="E650">
        <v>22</v>
      </c>
      <c r="F650">
        <v>-39</v>
      </c>
      <c r="G650">
        <v>-63.9</v>
      </c>
    </row>
    <row r="651" spans="1:7" x14ac:dyDescent="0.35">
      <c r="A651" t="s">
        <v>88</v>
      </c>
      <c r="B651" t="s">
        <v>116</v>
      </c>
      <c r="C651" t="s">
        <v>8</v>
      </c>
      <c r="D651">
        <v>55</v>
      </c>
      <c r="E651">
        <v>72</v>
      </c>
      <c r="F651">
        <v>17</v>
      </c>
      <c r="G651">
        <v>30.9</v>
      </c>
    </row>
    <row r="652" spans="1:7" x14ac:dyDescent="0.35">
      <c r="A652" t="s">
        <v>89</v>
      </c>
      <c r="B652" t="s">
        <v>116</v>
      </c>
      <c r="C652" t="s">
        <v>8</v>
      </c>
      <c r="D652">
        <v>63</v>
      </c>
      <c r="E652">
        <v>72</v>
      </c>
      <c r="F652">
        <v>9</v>
      </c>
      <c r="G652">
        <v>14.3</v>
      </c>
    </row>
    <row r="653" spans="1:7" x14ac:dyDescent="0.35">
      <c r="A653" t="s">
        <v>90</v>
      </c>
      <c r="B653" t="s">
        <v>116</v>
      </c>
      <c r="C653" t="s">
        <v>8</v>
      </c>
      <c r="D653">
        <v>57</v>
      </c>
      <c r="E653">
        <v>66</v>
      </c>
      <c r="F653">
        <v>9</v>
      </c>
      <c r="G653">
        <v>15.8</v>
      </c>
    </row>
    <row r="654" spans="1:7" x14ac:dyDescent="0.35">
      <c r="A654" t="s">
        <v>91</v>
      </c>
      <c r="B654" t="s">
        <v>116</v>
      </c>
      <c r="C654" t="s">
        <v>8</v>
      </c>
      <c r="D654">
        <v>63</v>
      </c>
      <c r="E654">
        <v>60</v>
      </c>
      <c r="F654">
        <v>-3</v>
      </c>
      <c r="G654">
        <v>-4.8</v>
      </c>
    </row>
    <row r="655" spans="1:7" x14ac:dyDescent="0.35">
      <c r="A655" t="s">
        <v>92</v>
      </c>
      <c r="B655" t="s">
        <v>116</v>
      </c>
      <c r="C655" t="s">
        <v>8</v>
      </c>
      <c r="D655">
        <v>66</v>
      </c>
      <c r="E655">
        <v>72</v>
      </c>
      <c r="F655">
        <v>6</v>
      </c>
      <c r="G655">
        <v>9.1</v>
      </c>
    </row>
    <row r="656" spans="1:7" x14ac:dyDescent="0.35">
      <c r="A656" t="s">
        <v>93</v>
      </c>
      <c r="B656" t="s">
        <v>116</v>
      </c>
      <c r="C656" t="s">
        <v>8</v>
      </c>
      <c r="D656">
        <v>64</v>
      </c>
      <c r="E656">
        <v>61</v>
      </c>
      <c r="F656">
        <v>-3</v>
      </c>
      <c r="G656">
        <v>-4.7</v>
      </c>
    </row>
    <row r="657" spans="1:7" x14ac:dyDescent="0.35">
      <c r="A657" t="s">
        <v>94</v>
      </c>
      <c r="B657" t="s">
        <v>116</v>
      </c>
      <c r="C657" t="s">
        <v>8</v>
      </c>
      <c r="D657">
        <v>61</v>
      </c>
      <c r="E657">
        <v>55</v>
      </c>
      <c r="F657">
        <v>-6</v>
      </c>
      <c r="G657">
        <v>-9.8000000000000007</v>
      </c>
    </row>
    <row r="658" spans="1:7" x14ac:dyDescent="0.35">
      <c r="A658" t="s">
        <v>95</v>
      </c>
      <c r="B658" t="s">
        <v>116</v>
      </c>
      <c r="C658" t="s">
        <v>8</v>
      </c>
      <c r="D658">
        <v>68</v>
      </c>
      <c r="E658">
        <v>79</v>
      </c>
      <c r="F658">
        <v>11</v>
      </c>
      <c r="G658">
        <v>16.2</v>
      </c>
    </row>
    <row r="659" spans="1:7" x14ac:dyDescent="0.35">
      <c r="A659" t="s">
        <v>96</v>
      </c>
      <c r="B659" t="s">
        <v>116</v>
      </c>
      <c r="C659" t="s">
        <v>8</v>
      </c>
      <c r="D659">
        <v>61</v>
      </c>
      <c r="E659">
        <v>67</v>
      </c>
      <c r="F659">
        <v>6</v>
      </c>
      <c r="G659">
        <v>9.8000000000000007</v>
      </c>
    </row>
    <row r="660" spans="1:7" x14ac:dyDescent="0.35">
      <c r="A660" t="s">
        <v>97</v>
      </c>
      <c r="B660" t="s">
        <v>116</v>
      </c>
      <c r="C660" t="s">
        <v>8</v>
      </c>
      <c r="D660">
        <v>67</v>
      </c>
      <c r="E660">
        <v>84</v>
      </c>
      <c r="F660">
        <v>17</v>
      </c>
      <c r="G660">
        <v>25.4</v>
      </c>
    </row>
    <row r="661" spans="1:7" x14ac:dyDescent="0.35">
      <c r="A661" t="s">
        <v>98</v>
      </c>
      <c r="B661" t="s">
        <v>116</v>
      </c>
      <c r="C661" t="s">
        <v>8</v>
      </c>
      <c r="D661">
        <v>73</v>
      </c>
      <c r="E661">
        <v>70</v>
      </c>
      <c r="F661">
        <v>-3</v>
      </c>
      <c r="G661">
        <v>-4.0999999999999996</v>
      </c>
    </row>
    <row r="662" spans="1:7" x14ac:dyDescent="0.35">
      <c r="A662" t="s">
        <v>99</v>
      </c>
      <c r="B662" t="s">
        <v>116</v>
      </c>
      <c r="C662" t="s">
        <v>8</v>
      </c>
      <c r="D662">
        <v>66</v>
      </c>
      <c r="E662">
        <v>56</v>
      </c>
      <c r="F662">
        <v>-10</v>
      </c>
      <c r="G662">
        <v>-15.2</v>
      </c>
    </row>
    <row r="663" spans="1:7" x14ac:dyDescent="0.35">
      <c r="A663" t="s">
        <v>100</v>
      </c>
      <c r="B663" t="s">
        <v>116</v>
      </c>
      <c r="C663" t="s">
        <v>8</v>
      </c>
      <c r="D663">
        <v>67</v>
      </c>
      <c r="E663">
        <v>70</v>
      </c>
      <c r="F663">
        <v>3</v>
      </c>
      <c r="G663">
        <v>4.5</v>
      </c>
    </row>
    <row r="664" spans="1:7" x14ac:dyDescent="0.35">
      <c r="A664" t="s">
        <v>101</v>
      </c>
      <c r="B664" t="s">
        <v>116</v>
      </c>
      <c r="C664" t="s">
        <v>8</v>
      </c>
      <c r="D664">
        <v>73</v>
      </c>
      <c r="E664">
        <v>85</v>
      </c>
      <c r="F664">
        <v>12</v>
      </c>
      <c r="G664">
        <v>16.399999999999999</v>
      </c>
    </row>
    <row r="665" spans="1:7" x14ac:dyDescent="0.35">
      <c r="A665" t="s">
        <v>102</v>
      </c>
      <c r="B665" t="s">
        <v>116</v>
      </c>
      <c r="C665" t="s">
        <v>8</v>
      </c>
      <c r="D665">
        <v>68</v>
      </c>
      <c r="E665">
        <v>90</v>
      </c>
      <c r="F665">
        <v>22</v>
      </c>
      <c r="G665">
        <v>32.4</v>
      </c>
    </row>
    <row r="666" spans="1:7" x14ac:dyDescent="0.35">
      <c r="A666" t="s">
        <v>103</v>
      </c>
      <c r="B666" t="s">
        <v>116</v>
      </c>
      <c r="C666" t="s">
        <v>8</v>
      </c>
      <c r="D666">
        <v>80</v>
      </c>
      <c r="E666">
        <v>90</v>
      </c>
      <c r="F666">
        <v>10</v>
      </c>
      <c r="G666">
        <v>12.5</v>
      </c>
    </row>
    <row r="667" spans="1:7" x14ac:dyDescent="0.35">
      <c r="A667" t="s">
        <v>104</v>
      </c>
      <c r="B667" t="s">
        <v>116</v>
      </c>
      <c r="C667" t="s">
        <v>8</v>
      </c>
      <c r="D667">
        <v>82</v>
      </c>
      <c r="E667">
        <v>72</v>
      </c>
      <c r="F667">
        <v>-10</v>
      </c>
      <c r="G667">
        <v>-12.2</v>
      </c>
    </row>
    <row r="668" spans="1:7" x14ac:dyDescent="0.35">
      <c r="A668" t="s">
        <v>105</v>
      </c>
      <c r="B668" t="s">
        <v>116</v>
      </c>
      <c r="C668" t="s">
        <v>8</v>
      </c>
      <c r="D668">
        <v>74</v>
      </c>
      <c r="E668">
        <v>71</v>
      </c>
      <c r="F668">
        <v>-3</v>
      </c>
      <c r="G668">
        <v>-4.0999999999999996</v>
      </c>
    </row>
    <row r="669" spans="1:7" x14ac:dyDescent="0.35">
      <c r="A669" t="s">
        <v>106</v>
      </c>
      <c r="B669" t="s">
        <v>116</v>
      </c>
      <c r="C669" t="s">
        <v>8</v>
      </c>
      <c r="D669">
        <v>74</v>
      </c>
      <c r="E669">
        <v>60</v>
      </c>
      <c r="F669">
        <v>-14</v>
      </c>
      <c r="G669">
        <v>-18.899999999999999</v>
      </c>
    </row>
    <row r="670" spans="1:7" x14ac:dyDescent="0.35">
      <c r="A670" t="s">
        <v>107</v>
      </c>
      <c r="B670" t="s">
        <v>116</v>
      </c>
      <c r="C670" t="s">
        <v>8</v>
      </c>
      <c r="D670">
        <v>71</v>
      </c>
      <c r="E670">
        <v>69</v>
      </c>
      <c r="F670">
        <v>-2</v>
      </c>
      <c r="G670">
        <v>-2.8</v>
      </c>
    </row>
    <row r="671" spans="1:7" x14ac:dyDescent="0.35">
      <c r="A671" t="s">
        <v>108</v>
      </c>
      <c r="B671" t="s">
        <v>116</v>
      </c>
      <c r="C671" t="s">
        <v>8</v>
      </c>
      <c r="D671">
        <v>69</v>
      </c>
      <c r="E671">
        <v>84</v>
      </c>
      <c r="F671">
        <v>15</v>
      </c>
      <c r="G671">
        <v>21.7</v>
      </c>
    </row>
    <row r="672" spans="1:7" x14ac:dyDescent="0.35">
      <c r="A672" t="s">
        <v>109</v>
      </c>
      <c r="B672" t="s">
        <v>116</v>
      </c>
      <c r="C672" t="s">
        <v>8</v>
      </c>
      <c r="D672">
        <v>73</v>
      </c>
      <c r="E672">
        <v>62</v>
      </c>
      <c r="F672">
        <v>-11</v>
      </c>
      <c r="G672">
        <v>-15.1</v>
      </c>
    </row>
    <row r="673" spans="1:7" x14ac:dyDescent="0.35">
      <c r="A673" t="s">
        <v>110</v>
      </c>
      <c r="B673" t="s">
        <v>116</v>
      </c>
      <c r="C673" t="s">
        <v>8</v>
      </c>
      <c r="D673">
        <v>68</v>
      </c>
      <c r="E673">
        <v>91</v>
      </c>
      <c r="F673">
        <v>23</v>
      </c>
      <c r="G673">
        <v>33.799999999999997</v>
      </c>
    </row>
    <row r="674" spans="1:7" x14ac:dyDescent="0.35">
      <c r="A674" t="s">
        <v>111</v>
      </c>
      <c r="B674" t="s">
        <v>116</v>
      </c>
      <c r="C674" t="s">
        <v>8</v>
      </c>
      <c r="D674">
        <v>75</v>
      </c>
      <c r="E674">
        <v>88</v>
      </c>
      <c r="F674">
        <v>13</v>
      </c>
      <c r="G674">
        <v>17.3</v>
      </c>
    </row>
    <row r="675" spans="1:7" x14ac:dyDescent="0.35">
      <c r="A675" t="s">
        <v>112</v>
      </c>
      <c r="B675" t="s">
        <v>116</v>
      </c>
      <c r="C675" t="s">
        <v>8</v>
      </c>
      <c r="D675">
        <v>79</v>
      </c>
      <c r="E675">
        <v>74</v>
      </c>
      <c r="F675">
        <v>-5</v>
      </c>
      <c r="G675">
        <v>-6.3</v>
      </c>
    </row>
    <row r="676" spans="1:7" x14ac:dyDescent="0.35">
      <c r="A676" t="s">
        <v>113</v>
      </c>
      <c r="B676" t="s">
        <v>116</v>
      </c>
      <c r="C676" t="s">
        <v>8</v>
      </c>
      <c r="D676">
        <v>77</v>
      </c>
      <c r="E676">
        <v>91</v>
      </c>
      <c r="F676">
        <v>14</v>
      </c>
      <c r="G676">
        <v>18.2</v>
      </c>
    </row>
    <row r="677" spans="1:7" x14ac:dyDescent="0.35">
      <c r="A677" t="s">
        <v>114</v>
      </c>
      <c r="B677" t="s">
        <v>116</v>
      </c>
      <c r="C677" t="s">
        <v>8</v>
      </c>
      <c r="D677">
        <v>68</v>
      </c>
      <c r="E677">
        <v>65</v>
      </c>
      <c r="F677">
        <v>-3</v>
      </c>
      <c r="G677">
        <v>-4.4000000000000004</v>
      </c>
    </row>
    <row r="678" spans="1:7" x14ac:dyDescent="0.35">
      <c r="A678" t="s">
        <v>62</v>
      </c>
      <c r="B678" t="s">
        <v>116</v>
      </c>
      <c r="C678" t="s">
        <v>14</v>
      </c>
      <c r="D678">
        <v>31</v>
      </c>
      <c r="E678">
        <v>34</v>
      </c>
      <c r="F678">
        <v>3</v>
      </c>
      <c r="G678">
        <v>9.6999999999999993</v>
      </c>
    </row>
    <row r="679" spans="1:7" x14ac:dyDescent="0.35">
      <c r="A679" t="s">
        <v>64</v>
      </c>
      <c r="B679" t="s">
        <v>116</v>
      </c>
      <c r="C679" t="s">
        <v>14</v>
      </c>
      <c r="D679">
        <v>32</v>
      </c>
      <c r="E679">
        <v>26</v>
      </c>
      <c r="F679">
        <v>-6</v>
      </c>
      <c r="G679">
        <v>-18.8</v>
      </c>
    </row>
    <row r="680" spans="1:7" x14ac:dyDescent="0.35">
      <c r="A680" t="s">
        <v>65</v>
      </c>
      <c r="B680" t="s">
        <v>116</v>
      </c>
      <c r="C680" t="s">
        <v>14</v>
      </c>
      <c r="D680">
        <v>32</v>
      </c>
      <c r="E680">
        <v>30</v>
      </c>
      <c r="F680">
        <v>-2</v>
      </c>
      <c r="G680">
        <v>-6.2</v>
      </c>
    </row>
    <row r="681" spans="1:7" x14ac:dyDescent="0.35">
      <c r="A681" t="s">
        <v>66</v>
      </c>
      <c r="B681" t="s">
        <v>116</v>
      </c>
      <c r="C681" t="s">
        <v>14</v>
      </c>
      <c r="D681">
        <v>31</v>
      </c>
      <c r="E681">
        <v>33</v>
      </c>
      <c r="F681">
        <v>2</v>
      </c>
      <c r="G681">
        <v>6.5</v>
      </c>
    </row>
    <row r="682" spans="1:7" x14ac:dyDescent="0.35">
      <c r="A682" t="s">
        <v>67</v>
      </c>
      <c r="B682" t="s">
        <v>116</v>
      </c>
      <c r="C682" t="s">
        <v>14</v>
      </c>
      <c r="D682">
        <v>37</v>
      </c>
      <c r="E682">
        <v>35</v>
      </c>
      <c r="F682">
        <v>-2</v>
      </c>
      <c r="G682">
        <v>-5.4</v>
      </c>
    </row>
    <row r="683" spans="1:7" x14ac:dyDescent="0.35">
      <c r="A683" t="s">
        <v>68</v>
      </c>
      <c r="B683" t="s">
        <v>116</v>
      </c>
      <c r="C683" t="s">
        <v>14</v>
      </c>
      <c r="D683">
        <v>34</v>
      </c>
      <c r="E683">
        <v>44</v>
      </c>
      <c r="F683">
        <v>10</v>
      </c>
      <c r="G683">
        <v>29.4</v>
      </c>
    </row>
    <row r="684" spans="1:7" x14ac:dyDescent="0.35">
      <c r="A684" t="s">
        <v>69</v>
      </c>
      <c r="B684" t="s">
        <v>116</v>
      </c>
      <c r="C684" t="s">
        <v>14</v>
      </c>
      <c r="D684">
        <v>38</v>
      </c>
      <c r="E684">
        <v>28</v>
      </c>
      <c r="F684">
        <v>-10</v>
      </c>
      <c r="G684">
        <v>-26.3</v>
      </c>
    </row>
    <row r="685" spans="1:7" x14ac:dyDescent="0.35">
      <c r="A685" t="s">
        <v>70</v>
      </c>
      <c r="B685" t="s">
        <v>116</v>
      </c>
      <c r="C685" t="s">
        <v>14</v>
      </c>
      <c r="D685">
        <v>39</v>
      </c>
      <c r="E685">
        <v>34</v>
      </c>
      <c r="F685">
        <v>-5</v>
      </c>
      <c r="G685">
        <v>-12.8</v>
      </c>
    </row>
    <row r="686" spans="1:7" x14ac:dyDescent="0.35">
      <c r="A686" t="s">
        <v>71</v>
      </c>
      <c r="B686" t="s">
        <v>116</v>
      </c>
      <c r="C686" t="s">
        <v>14</v>
      </c>
      <c r="D686">
        <v>37</v>
      </c>
      <c r="E686">
        <v>39</v>
      </c>
      <c r="F686">
        <v>2</v>
      </c>
      <c r="G686">
        <v>5.4</v>
      </c>
    </row>
    <row r="687" spans="1:7" x14ac:dyDescent="0.35">
      <c r="A687" t="s">
        <v>72</v>
      </c>
      <c r="B687" t="s">
        <v>116</v>
      </c>
      <c r="C687" t="s">
        <v>14</v>
      </c>
      <c r="D687">
        <v>42</v>
      </c>
      <c r="E687">
        <v>36</v>
      </c>
      <c r="F687">
        <v>-6</v>
      </c>
      <c r="G687">
        <v>-14.3</v>
      </c>
    </row>
    <row r="688" spans="1:7" x14ac:dyDescent="0.35">
      <c r="A688" t="s">
        <v>73</v>
      </c>
      <c r="B688" t="s">
        <v>116</v>
      </c>
      <c r="C688" t="s">
        <v>14</v>
      </c>
      <c r="D688">
        <v>42</v>
      </c>
      <c r="E688">
        <v>46</v>
      </c>
      <c r="F688">
        <v>4</v>
      </c>
      <c r="G688">
        <v>9.5</v>
      </c>
    </row>
    <row r="689" spans="1:7" x14ac:dyDescent="0.35">
      <c r="A689" t="s">
        <v>74</v>
      </c>
      <c r="B689" t="s">
        <v>116</v>
      </c>
      <c r="C689" t="s">
        <v>14</v>
      </c>
      <c r="D689">
        <v>40</v>
      </c>
      <c r="E689">
        <v>54</v>
      </c>
      <c r="F689">
        <v>14</v>
      </c>
      <c r="G689">
        <v>35</v>
      </c>
    </row>
    <row r="690" spans="1:7" x14ac:dyDescent="0.35">
      <c r="A690" t="s">
        <v>75</v>
      </c>
      <c r="B690" t="s">
        <v>116</v>
      </c>
      <c r="C690" t="s">
        <v>14</v>
      </c>
      <c r="D690">
        <v>41</v>
      </c>
      <c r="E690">
        <v>45</v>
      </c>
      <c r="F690">
        <v>4</v>
      </c>
      <c r="G690">
        <v>9.8000000000000007</v>
      </c>
    </row>
    <row r="691" spans="1:7" x14ac:dyDescent="0.35">
      <c r="A691" t="s">
        <v>76</v>
      </c>
      <c r="B691" t="s">
        <v>116</v>
      </c>
      <c r="C691" t="s">
        <v>14</v>
      </c>
      <c r="D691">
        <v>46</v>
      </c>
      <c r="E691">
        <v>57</v>
      </c>
      <c r="F691">
        <v>11</v>
      </c>
      <c r="G691">
        <v>23.9</v>
      </c>
    </row>
    <row r="692" spans="1:7" x14ac:dyDescent="0.35">
      <c r="A692" t="s">
        <v>77</v>
      </c>
      <c r="B692" t="s">
        <v>116</v>
      </c>
      <c r="C692" t="s">
        <v>14</v>
      </c>
      <c r="D692">
        <v>48</v>
      </c>
      <c r="E692">
        <v>44</v>
      </c>
      <c r="F692">
        <v>-4</v>
      </c>
      <c r="G692">
        <v>-8.3000000000000007</v>
      </c>
    </row>
    <row r="693" spans="1:7" x14ac:dyDescent="0.35">
      <c r="A693" t="s">
        <v>78</v>
      </c>
      <c r="B693" t="s">
        <v>116</v>
      </c>
      <c r="C693" t="s">
        <v>14</v>
      </c>
      <c r="D693">
        <v>48</v>
      </c>
      <c r="E693">
        <v>52</v>
      </c>
      <c r="F693">
        <v>4</v>
      </c>
      <c r="G693">
        <v>8.3000000000000007</v>
      </c>
    </row>
    <row r="694" spans="1:7" x14ac:dyDescent="0.35">
      <c r="A694" t="s">
        <v>79</v>
      </c>
      <c r="B694" t="s">
        <v>116</v>
      </c>
      <c r="C694" t="s">
        <v>14</v>
      </c>
      <c r="D694">
        <v>54</v>
      </c>
      <c r="E694">
        <v>43</v>
      </c>
      <c r="F694">
        <v>-11</v>
      </c>
      <c r="G694">
        <v>-20.399999999999999</v>
      </c>
    </row>
    <row r="695" spans="1:7" x14ac:dyDescent="0.35">
      <c r="A695" t="s">
        <v>80</v>
      </c>
      <c r="B695" t="s">
        <v>116</v>
      </c>
      <c r="C695" t="s">
        <v>14</v>
      </c>
      <c r="D695">
        <v>46</v>
      </c>
      <c r="E695">
        <v>58</v>
      </c>
      <c r="F695">
        <v>12</v>
      </c>
      <c r="G695">
        <v>26.1</v>
      </c>
    </row>
    <row r="696" spans="1:7" x14ac:dyDescent="0.35">
      <c r="A696" t="s">
        <v>81</v>
      </c>
      <c r="B696" t="s">
        <v>116</v>
      </c>
      <c r="C696" t="s">
        <v>14</v>
      </c>
      <c r="D696">
        <v>50</v>
      </c>
      <c r="E696">
        <v>58</v>
      </c>
      <c r="F696">
        <v>8</v>
      </c>
      <c r="G696">
        <v>16</v>
      </c>
    </row>
    <row r="697" spans="1:7" x14ac:dyDescent="0.35">
      <c r="A697" t="s">
        <v>82</v>
      </c>
      <c r="B697" t="s">
        <v>116</v>
      </c>
      <c r="C697" t="s">
        <v>14</v>
      </c>
      <c r="D697">
        <v>54</v>
      </c>
      <c r="E697">
        <v>60</v>
      </c>
      <c r="F697">
        <v>6</v>
      </c>
      <c r="G697">
        <v>11.1</v>
      </c>
    </row>
    <row r="698" spans="1:7" x14ac:dyDescent="0.35">
      <c r="A698" t="s">
        <v>83</v>
      </c>
      <c r="B698" t="s">
        <v>116</v>
      </c>
      <c r="C698" t="s">
        <v>14</v>
      </c>
      <c r="D698">
        <v>57</v>
      </c>
      <c r="E698">
        <v>22</v>
      </c>
      <c r="F698">
        <v>-35</v>
      </c>
      <c r="G698">
        <v>-61.4</v>
      </c>
    </row>
    <row r="699" spans="1:7" x14ac:dyDescent="0.35">
      <c r="A699" t="s">
        <v>84</v>
      </c>
      <c r="B699" t="s">
        <v>116</v>
      </c>
      <c r="C699" t="s">
        <v>14</v>
      </c>
      <c r="D699">
        <v>50</v>
      </c>
      <c r="E699">
        <v>25</v>
      </c>
      <c r="F699">
        <v>-25</v>
      </c>
      <c r="G699">
        <v>-50</v>
      </c>
    </row>
    <row r="700" spans="1:7" x14ac:dyDescent="0.35">
      <c r="A700" t="s">
        <v>85</v>
      </c>
      <c r="B700" t="s">
        <v>116</v>
      </c>
      <c r="C700" t="s">
        <v>14</v>
      </c>
      <c r="D700">
        <v>60</v>
      </c>
      <c r="E700">
        <v>21</v>
      </c>
      <c r="F700">
        <v>-39</v>
      </c>
      <c r="G700">
        <v>-65</v>
      </c>
    </row>
    <row r="701" spans="1:7" x14ac:dyDescent="0.35">
      <c r="A701" t="s">
        <v>86</v>
      </c>
      <c r="B701" t="s">
        <v>116</v>
      </c>
      <c r="C701" t="s">
        <v>14</v>
      </c>
      <c r="D701">
        <v>61</v>
      </c>
      <c r="E701">
        <v>25</v>
      </c>
      <c r="F701">
        <v>-36</v>
      </c>
      <c r="G701">
        <v>-59</v>
      </c>
    </row>
    <row r="702" spans="1:7" x14ac:dyDescent="0.35">
      <c r="A702" t="s">
        <v>87</v>
      </c>
      <c r="B702" t="s">
        <v>116</v>
      </c>
      <c r="C702" t="s">
        <v>14</v>
      </c>
      <c r="D702">
        <v>61</v>
      </c>
      <c r="E702">
        <v>28</v>
      </c>
      <c r="F702">
        <v>-33</v>
      </c>
      <c r="G702">
        <v>-54.1</v>
      </c>
    </row>
    <row r="703" spans="1:7" x14ac:dyDescent="0.35">
      <c r="A703" t="s">
        <v>88</v>
      </c>
      <c r="B703" t="s">
        <v>116</v>
      </c>
      <c r="C703" t="s">
        <v>14</v>
      </c>
      <c r="D703">
        <v>64</v>
      </c>
      <c r="E703">
        <v>47</v>
      </c>
      <c r="F703">
        <v>-17</v>
      </c>
      <c r="G703">
        <v>-26.6</v>
      </c>
    </row>
    <row r="704" spans="1:7" x14ac:dyDescent="0.35">
      <c r="A704" t="s">
        <v>89</v>
      </c>
      <c r="B704" t="s">
        <v>116</v>
      </c>
      <c r="C704" t="s">
        <v>14</v>
      </c>
      <c r="D704">
        <v>65</v>
      </c>
      <c r="E704">
        <v>60</v>
      </c>
      <c r="F704">
        <v>-5</v>
      </c>
      <c r="G704">
        <v>-7.7</v>
      </c>
    </row>
    <row r="705" spans="1:7" x14ac:dyDescent="0.35">
      <c r="A705" t="s">
        <v>90</v>
      </c>
      <c r="B705" t="s">
        <v>116</v>
      </c>
      <c r="C705" t="s">
        <v>14</v>
      </c>
      <c r="D705">
        <v>60</v>
      </c>
      <c r="E705">
        <v>48</v>
      </c>
      <c r="F705">
        <v>-12</v>
      </c>
      <c r="G705">
        <v>-20</v>
      </c>
    </row>
    <row r="706" spans="1:7" x14ac:dyDescent="0.35">
      <c r="A706" t="s">
        <v>91</v>
      </c>
      <c r="B706" t="s">
        <v>116</v>
      </c>
      <c r="C706" t="s">
        <v>14</v>
      </c>
      <c r="D706">
        <v>60</v>
      </c>
      <c r="E706">
        <v>49</v>
      </c>
      <c r="F706">
        <v>-11</v>
      </c>
      <c r="G706">
        <v>-18.3</v>
      </c>
    </row>
    <row r="707" spans="1:7" x14ac:dyDescent="0.35">
      <c r="A707" t="s">
        <v>92</v>
      </c>
      <c r="B707" t="s">
        <v>116</v>
      </c>
      <c r="C707" t="s">
        <v>14</v>
      </c>
      <c r="D707">
        <v>70</v>
      </c>
      <c r="E707">
        <v>65</v>
      </c>
      <c r="F707">
        <v>-5</v>
      </c>
      <c r="G707">
        <v>-7.1</v>
      </c>
    </row>
    <row r="708" spans="1:7" x14ac:dyDescent="0.35">
      <c r="A708" t="s">
        <v>93</v>
      </c>
      <c r="B708" t="s">
        <v>116</v>
      </c>
      <c r="C708" t="s">
        <v>14</v>
      </c>
      <c r="D708">
        <v>72</v>
      </c>
      <c r="E708">
        <v>67</v>
      </c>
      <c r="F708">
        <v>-5</v>
      </c>
      <c r="G708">
        <v>-6.9</v>
      </c>
    </row>
    <row r="709" spans="1:7" x14ac:dyDescent="0.35">
      <c r="A709" t="s">
        <v>94</v>
      </c>
      <c r="B709" t="s">
        <v>116</v>
      </c>
      <c r="C709" t="s">
        <v>14</v>
      </c>
      <c r="D709">
        <v>64</v>
      </c>
      <c r="E709">
        <v>76</v>
      </c>
      <c r="F709">
        <v>12</v>
      </c>
      <c r="G709">
        <v>18.8</v>
      </c>
    </row>
    <row r="710" spans="1:7" x14ac:dyDescent="0.35">
      <c r="A710" t="s">
        <v>95</v>
      </c>
      <c r="B710" t="s">
        <v>116</v>
      </c>
      <c r="C710" t="s">
        <v>14</v>
      </c>
      <c r="D710">
        <v>64</v>
      </c>
      <c r="E710">
        <v>63</v>
      </c>
      <c r="F710">
        <v>-1</v>
      </c>
      <c r="G710">
        <v>-1.6</v>
      </c>
    </row>
    <row r="711" spans="1:7" x14ac:dyDescent="0.35">
      <c r="A711" t="s">
        <v>96</v>
      </c>
      <c r="B711" t="s">
        <v>116</v>
      </c>
      <c r="C711" t="s">
        <v>14</v>
      </c>
      <c r="D711">
        <v>73</v>
      </c>
      <c r="E711">
        <v>82</v>
      </c>
      <c r="F711">
        <v>9</v>
      </c>
      <c r="G711">
        <v>12.3</v>
      </c>
    </row>
    <row r="712" spans="1:7" x14ac:dyDescent="0.35">
      <c r="A712" t="s">
        <v>97</v>
      </c>
      <c r="B712" t="s">
        <v>116</v>
      </c>
      <c r="C712" t="s">
        <v>14</v>
      </c>
      <c r="D712">
        <v>68</v>
      </c>
      <c r="E712">
        <v>57</v>
      </c>
      <c r="F712">
        <v>-11</v>
      </c>
      <c r="G712">
        <v>-16.2</v>
      </c>
    </row>
    <row r="713" spans="1:7" x14ac:dyDescent="0.35">
      <c r="A713" t="s">
        <v>98</v>
      </c>
      <c r="B713" t="s">
        <v>116</v>
      </c>
      <c r="C713" t="s">
        <v>14</v>
      </c>
      <c r="D713">
        <v>70</v>
      </c>
      <c r="E713">
        <v>86</v>
      </c>
      <c r="F713">
        <v>16</v>
      </c>
      <c r="G713">
        <v>22.9</v>
      </c>
    </row>
    <row r="714" spans="1:7" x14ac:dyDescent="0.35">
      <c r="A714" t="s">
        <v>99</v>
      </c>
      <c r="B714" t="s">
        <v>116</v>
      </c>
      <c r="C714" t="s">
        <v>14</v>
      </c>
      <c r="D714">
        <v>76</v>
      </c>
      <c r="E714">
        <v>87</v>
      </c>
      <c r="F714">
        <v>11</v>
      </c>
      <c r="G714">
        <v>14.5</v>
      </c>
    </row>
    <row r="715" spans="1:7" x14ac:dyDescent="0.35">
      <c r="A715" t="s">
        <v>100</v>
      </c>
      <c r="B715" t="s">
        <v>116</v>
      </c>
      <c r="C715" t="s">
        <v>14</v>
      </c>
      <c r="D715">
        <v>72</v>
      </c>
      <c r="E715">
        <v>92</v>
      </c>
      <c r="F715">
        <v>20</v>
      </c>
      <c r="G715">
        <v>27.8</v>
      </c>
    </row>
    <row r="716" spans="1:7" x14ac:dyDescent="0.35">
      <c r="A716" t="s">
        <v>101</v>
      </c>
      <c r="B716" t="s">
        <v>116</v>
      </c>
      <c r="C716" t="s">
        <v>14</v>
      </c>
      <c r="D716">
        <v>75</v>
      </c>
      <c r="E716">
        <v>75</v>
      </c>
      <c r="F716">
        <v>0</v>
      </c>
      <c r="G716">
        <v>0</v>
      </c>
    </row>
    <row r="717" spans="1:7" x14ac:dyDescent="0.35">
      <c r="A717" t="s">
        <v>102</v>
      </c>
      <c r="B717" t="s">
        <v>116</v>
      </c>
      <c r="C717" t="s">
        <v>14</v>
      </c>
      <c r="D717">
        <v>83</v>
      </c>
      <c r="E717">
        <v>77</v>
      </c>
      <c r="F717">
        <v>-6</v>
      </c>
      <c r="G717">
        <v>-7.2</v>
      </c>
    </row>
    <row r="718" spans="1:7" x14ac:dyDescent="0.35">
      <c r="A718" t="s">
        <v>103</v>
      </c>
      <c r="B718" t="s">
        <v>116</v>
      </c>
      <c r="C718" t="s">
        <v>14</v>
      </c>
      <c r="D718">
        <v>82</v>
      </c>
      <c r="E718">
        <v>86</v>
      </c>
      <c r="F718">
        <v>4</v>
      </c>
      <c r="G718">
        <v>4.9000000000000004</v>
      </c>
    </row>
    <row r="719" spans="1:7" x14ac:dyDescent="0.35">
      <c r="A719" t="s">
        <v>104</v>
      </c>
      <c r="B719" t="s">
        <v>116</v>
      </c>
      <c r="C719" t="s">
        <v>14</v>
      </c>
      <c r="D719">
        <v>71</v>
      </c>
      <c r="E719">
        <v>81</v>
      </c>
      <c r="F719">
        <v>10</v>
      </c>
      <c r="G719">
        <v>14.1</v>
      </c>
    </row>
    <row r="720" spans="1:7" x14ac:dyDescent="0.35">
      <c r="A720" t="s">
        <v>105</v>
      </c>
      <c r="B720" t="s">
        <v>116</v>
      </c>
      <c r="C720" t="s">
        <v>14</v>
      </c>
      <c r="D720">
        <v>83</v>
      </c>
      <c r="E720">
        <v>79</v>
      </c>
      <c r="F720">
        <v>-4</v>
      </c>
      <c r="G720">
        <v>-4.8</v>
      </c>
    </row>
    <row r="721" spans="1:7" x14ac:dyDescent="0.35">
      <c r="A721" t="s">
        <v>106</v>
      </c>
      <c r="B721" t="s">
        <v>116</v>
      </c>
      <c r="C721" t="s">
        <v>14</v>
      </c>
      <c r="D721">
        <v>75</v>
      </c>
      <c r="E721">
        <v>61</v>
      </c>
      <c r="F721">
        <v>-14</v>
      </c>
      <c r="G721">
        <v>-18.7</v>
      </c>
    </row>
    <row r="722" spans="1:7" x14ac:dyDescent="0.35">
      <c r="A722" t="s">
        <v>107</v>
      </c>
      <c r="B722" t="s">
        <v>116</v>
      </c>
      <c r="C722" t="s">
        <v>14</v>
      </c>
      <c r="D722">
        <v>80</v>
      </c>
      <c r="E722">
        <v>70</v>
      </c>
      <c r="F722">
        <v>-10</v>
      </c>
      <c r="G722">
        <v>-12.5</v>
      </c>
    </row>
    <row r="723" spans="1:7" x14ac:dyDescent="0.35">
      <c r="A723" t="s">
        <v>108</v>
      </c>
      <c r="B723" t="s">
        <v>116</v>
      </c>
      <c r="C723" t="s">
        <v>14</v>
      </c>
      <c r="D723">
        <v>79</v>
      </c>
      <c r="E723">
        <v>75</v>
      </c>
      <c r="F723">
        <v>-4</v>
      </c>
      <c r="G723">
        <v>-5.0999999999999996</v>
      </c>
    </row>
    <row r="724" spans="1:7" x14ac:dyDescent="0.35">
      <c r="A724" t="s">
        <v>109</v>
      </c>
      <c r="B724" t="s">
        <v>116</v>
      </c>
      <c r="C724" t="s">
        <v>14</v>
      </c>
      <c r="D724">
        <v>80</v>
      </c>
      <c r="E724">
        <v>72</v>
      </c>
      <c r="F724">
        <v>-8</v>
      </c>
      <c r="G724">
        <v>-10</v>
      </c>
    </row>
    <row r="725" spans="1:7" x14ac:dyDescent="0.35">
      <c r="A725" t="s">
        <v>110</v>
      </c>
      <c r="B725" t="s">
        <v>116</v>
      </c>
      <c r="C725" t="s">
        <v>14</v>
      </c>
      <c r="D725">
        <v>70</v>
      </c>
      <c r="E725">
        <v>92</v>
      </c>
      <c r="F725">
        <v>22</v>
      </c>
      <c r="G725">
        <v>31.4</v>
      </c>
    </row>
    <row r="726" spans="1:7" x14ac:dyDescent="0.35">
      <c r="A726" t="s">
        <v>111</v>
      </c>
      <c r="B726" t="s">
        <v>116</v>
      </c>
      <c r="C726" t="s">
        <v>14</v>
      </c>
      <c r="D726">
        <v>75</v>
      </c>
      <c r="E726">
        <v>97</v>
      </c>
      <c r="F726">
        <v>22</v>
      </c>
      <c r="G726">
        <v>29.3</v>
      </c>
    </row>
    <row r="727" spans="1:7" x14ac:dyDescent="0.35">
      <c r="A727" t="s">
        <v>112</v>
      </c>
      <c r="B727" t="s">
        <v>116</v>
      </c>
      <c r="C727" t="s">
        <v>14</v>
      </c>
      <c r="D727">
        <v>74</v>
      </c>
      <c r="E727">
        <v>96</v>
      </c>
      <c r="F727">
        <v>22</v>
      </c>
      <c r="G727">
        <v>29.7</v>
      </c>
    </row>
    <row r="728" spans="1:7" x14ac:dyDescent="0.35">
      <c r="A728" t="s">
        <v>113</v>
      </c>
      <c r="B728" t="s">
        <v>116</v>
      </c>
      <c r="C728" t="s">
        <v>14</v>
      </c>
      <c r="D728">
        <v>84</v>
      </c>
      <c r="E728">
        <v>61</v>
      </c>
      <c r="F728">
        <v>-23</v>
      </c>
      <c r="G728">
        <v>-27.4</v>
      </c>
    </row>
    <row r="729" spans="1:7" x14ac:dyDescent="0.35">
      <c r="A729" t="s">
        <v>114</v>
      </c>
      <c r="B729" t="s">
        <v>116</v>
      </c>
      <c r="C729" t="s">
        <v>14</v>
      </c>
      <c r="D729">
        <v>80</v>
      </c>
      <c r="E729">
        <v>72</v>
      </c>
      <c r="F729">
        <v>-8</v>
      </c>
      <c r="G729">
        <v>-10</v>
      </c>
    </row>
    <row r="730" spans="1:7" x14ac:dyDescent="0.35">
      <c r="A730" t="s">
        <v>62</v>
      </c>
      <c r="B730" t="s">
        <v>116</v>
      </c>
      <c r="C730" t="s">
        <v>22</v>
      </c>
      <c r="D730">
        <v>34</v>
      </c>
      <c r="E730">
        <v>26</v>
      </c>
      <c r="F730">
        <v>-8</v>
      </c>
      <c r="G730">
        <v>-23.5</v>
      </c>
    </row>
    <row r="731" spans="1:7" x14ac:dyDescent="0.35">
      <c r="A731" t="s">
        <v>64</v>
      </c>
      <c r="B731" t="s">
        <v>116</v>
      </c>
      <c r="C731" t="s">
        <v>22</v>
      </c>
      <c r="D731">
        <v>33</v>
      </c>
      <c r="E731">
        <v>37</v>
      </c>
      <c r="F731">
        <v>4</v>
      </c>
      <c r="G731">
        <v>12.1</v>
      </c>
    </row>
    <row r="732" spans="1:7" x14ac:dyDescent="0.35">
      <c r="A732" t="s">
        <v>65</v>
      </c>
      <c r="B732" t="s">
        <v>116</v>
      </c>
      <c r="C732" t="s">
        <v>22</v>
      </c>
      <c r="D732">
        <v>31</v>
      </c>
      <c r="E732">
        <v>26</v>
      </c>
      <c r="F732">
        <v>-5</v>
      </c>
      <c r="G732">
        <v>-16.100000000000001</v>
      </c>
    </row>
    <row r="733" spans="1:7" x14ac:dyDescent="0.35">
      <c r="A733" t="s">
        <v>66</v>
      </c>
      <c r="B733" t="s">
        <v>116</v>
      </c>
      <c r="C733" t="s">
        <v>22</v>
      </c>
      <c r="D733">
        <v>37</v>
      </c>
      <c r="E733">
        <v>33</v>
      </c>
      <c r="F733">
        <v>-4</v>
      </c>
      <c r="G733">
        <v>-10.8</v>
      </c>
    </row>
    <row r="734" spans="1:7" x14ac:dyDescent="0.35">
      <c r="A734" t="s">
        <v>67</v>
      </c>
      <c r="B734" t="s">
        <v>116</v>
      </c>
      <c r="C734" t="s">
        <v>22</v>
      </c>
      <c r="D734">
        <v>35</v>
      </c>
      <c r="E734">
        <v>38</v>
      </c>
      <c r="F734">
        <v>3</v>
      </c>
      <c r="G734">
        <v>8.6</v>
      </c>
    </row>
    <row r="735" spans="1:7" x14ac:dyDescent="0.35">
      <c r="A735" t="s">
        <v>68</v>
      </c>
      <c r="B735" t="s">
        <v>116</v>
      </c>
      <c r="C735" t="s">
        <v>22</v>
      </c>
      <c r="D735">
        <v>38</v>
      </c>
      <c r="E735">
        <v>41</v>
      </c>
      <c r="F735">
        <v>3</v>
      </c>
      <c r="G735">
        <v>7.9</v>
      </c>
    </row>
    <row r="736" spans="1:7" x14ac:dyDescent="0.35">
      <c r="A736" t="s">
        <v>69</v>
      </c>
      <c r="B736" t="s">
        <v>116</v>
      </c>
      <c r="C736" t="s">
        <v>22</v>
      </c>
      <c r="D736">
        <v>42</v>
      </c>
      <c r="E736">
        <v>36</v>
      </c>
      <c r="F736">
        <v>-6</v>
      </c>
      <c r="G736">
        <v>-14.3</v>
      </c>
    </row>
    <row r="737" spans="1:7" x14ac:dyDescent="0.35">
      <c r="A737" t="s">
        <v>70</v>
      </c>
      <c r="B737" t="s">
        <v>116</v>
      </c>
      <c r="C737" t="s">
        <v>22</v>
      </c>
      <c r="D737">
        <v>42</v>
      </c>
      <c r="E737">
        <v>41</v>
      </c>
      <c r="F737">
        <v>-1</v>
      </c>
      <c r="G737">
        <v>-2.4</v>
      </c>
    </row>
    <row r="738" spans="1:7" x14ac:dyDescent="0.35">
      <c r="A738" t="s">
        <v>71</v>
      </c>
      <c r="B738" t="s">
        <v>116</v>
      </c>
      <c r="C738" t="s">
        <v>22</v>
      </c>
      <c r="D738">
        <v>41</v>
      </c>
      <c r="E738">
        <v>39</v>
      </c>
      <c r="F738">
        <v>-2</v>
      </c>
      <c r="G738">
        <v>-4.9000000000000004</v>
      </c>
    </row>
    <row r="739" spans="1:7" x14ac:dyDescent="0.35">
      <c r="A739" t="s">
        <v>72</v>
      </c>
      <c r="B739" t="s">
        <v>116</v>
      </c>
      <c r="C739" t="s">
        <v>22</v>
      </c>
      <c r="D739">
        <v>44</v>
      </c>
      <c r="E739">
        <v>37</v>
      </c>
      <c r="F739">
        <v>-7</v>
      </c>
      <c r="G739">
        <v>-15.9</v>
      </c>
    </row>
    <row r="740" spans="1:7" x14ac:dyDescent="0.35">
      <c r="A740" t="s">
        <v>73</v>
      </c>
      <c r="B740" t="s">
        <v>116</v>
      </c>
      <c r="C740" t="s">
        <v>22</v>
      </c>
      <c r="D740">
        <v>40</v>
      </c>
      <c r="E740">
        <v>49</v>
      </c>
      <c r="F740">
        <v>9</v>
      </c>
      <c r="G740">
        <v>22.5</v>
      </c>
    </row>
    <row r="741" spans="1:7" x14ac:dyDescent="0.35">
      <c r="A741" t="s">
        <v>74</v>
      </c>
      <c r="B741" t="s">
        <v>116</v>
      </c>
      <c r="C741" t="s">
        <v>22</v>
      </c>
      <c r="D741">
        <v>45</v>
      </c>
      <c r="E741">
        <v>42</v>
      </c>
      <c r="F741">
        <v>-3</v>
      </c>
      <c r="G741">
        <v>-6.7</v>
      </c>
    </row>
    <row r="742" spans="1:7" x14ac:dyDescent="0.35">
      <c r="A742" t="s">
        <v>75</v>
      </c>
      <c r="B742" t="s">
        <v>116</v>
      </c>
      <c r="C742" t="s">
        <v>22</v>
      </c>
      <c r="D742">
        <v>46</v>
      </c>
      <c r="E742">
        <v>40</v>
      </c>
      <c r="F742">
        <v>-6</v>
      </c>
      <c r="G742">
        <v>-13</v>
      </c>
    </row>
    <row r="743" spans="1:7" x14ac:dyDescent="0.35">
      <c r="A743" t="s">
        <v>76</v>
      </c>
      <c r="B743" t="s">
        <v>116</v>
      </c>
      <c r="C743" t="s">
        <v>22</v>
      </c>
      <c r="D743">
        <v>45</v>
      </c>
      <c r="E743">
        <v>46</v>
      </c>
      <c r="F743">
        <v>1</v>
      </c>
      <c r="G743">
        <v>2.2000000000000002</v>
      </c>
    </row>
    <row r="744" spans="1:7" x14ac:dyDescent="0.35">
      <c r="A744" t="s">
        <v>77</v>
      </c>
      <c r="B744" t="s">
        <v>116</v>
      </c>
      <c r="C744" t="s">
        <v>22</v>
      </c>
      <c r="D744">
        <v>53</v>
      </c>
      <c r="E744">
        <v>43</v>
      </c>
      <c r="F744">
        <v>-10</v>
      </c>
      <c r="G744">
        <v>-18.899999999999999</v>
      </c>
    </row>
    <row r="745" spans="1:7" x14ac:dyDescent="0.35">
      <c r="A745" t="s">
        <v>78</v>
      </c>
      <c r="B745" t="s">
        <v>116</v>
      </c>
      <c r="C745" t="s">
        <v>22</v>
      </c>
      <c r="D745">
        <v>54</v>
      </c>
      <c r="E745">
        <v>49</v>
      </c>
      <c r="F745">
        <v>-5</v>
      </c>
      <c r="G745">
        <v>-9.3000000000000007</v>
      </c>
    </row>
    <row r="746" spans="1:7" x14ac:dyDescent="0.35">
      <c r="A746" t="s">
        <v>79</v>
      </c>
      <c r="B746" t="s">
        <v>116</v>
      </c>
      <c r="C746" t="s">
        <v>22</v>
      </c>
      <c r="D746">
        <v>47</v>
      </c>
      <c r="E746">
        <v>60</v>
      </c>
      <c r="F746">
        <v>13</v>
      </c>
      <c r="G746">
        <v>27.7</v>
      </c>
    </row>
    <row r="747" spans="1:7" x14ac:dyDescent="0.35">
      <c r="A747" t="s">
        <v>80</v>
      </c>
      <c r="B747" t="s">
        <v>116</v>
      </c>
      <c r="C747" t="s">
        <v>22</v>
      </c>
      <c r="D747">
        <v>51</v>
      </c>
      <c r="E747">
        <v>62</v>
      </c>
      <c r="F747">
        <v>11</v>
      </c>
      <c r="G747">
        <v>21.6</v>
      </c>
    </row>
    <row r="748" spans="1:7" x14ac:dyDescent="0.35">
      <c r="A748" t="s">
        <v>81</v>
      </c>
      <c r="B748" t="s">
        <v>116</v>
      </c>
      <c r="C748" t="s">
        <v>22</v>
      </c>
      <c r="D748">
        <v>53</v>
      </c>
      <c r="E748">
        <v>42</v>
      </c>
      <c r="F748">
        <v>-11</v>
      </c>
      <c r="G748">
        <v>-20.8</v>
      </c>
    </row>
    <row r="749" spans="1:7" x14ac:dyDescent="0.35">
      <c r="A749" t="s">
        <v>82</v>
      </c>
      <c r="B749" t="s">
        <v>116</v>
      </c>
      <c r="C749" t="s">
        <v>22</v>
      </c>
      <c r="D749">
        <v>56</v>
      </c>
      <c r="E749">
        <v>64</v>
      </c>
      <c r="F749">
        <v>8</v>
      </c>
      <c r="G749">
        <v>14.3</v>
      </c>
    </row>
    <row r="750" spans="1:7" x14ac:dyDescent="0.35">
      <c r="A750" t="s">
        <v>83</v>
      </c>
      <c r="B750" t="s">
        <v>116</v>
      </c>
      <c r="C750" t="s">
        <v>22</v>
      </c>
      <c r="D750">
        <v>53</v>
      </c>
      <c r="E750">
        <v>51</v>
      </c>
      <c r="F750">
        <v>-2</v>
      </c>
      <c r="G750">
        <v>-3.8</v>
      </c>
    </row>
    <row r="751" spans="1:7" x14ac:dyDescent="0.35">
      <c r="A751" t="s">
        <v>84</v>
      </c>
      <c r="B751" t="s">
        <v>116</v>
      </c>
      <c r="C751" t="s">
        <v>22</v>
      </c>
      <c r="D751">
        <v>52</v>
      </c>
      <c r="E751">
        <v>58</v>
      </c>
      <c r="F751">
        <v>6</v>
      </c>
      <c r="G751">
        <v>11.5</v>
      </c>
    </row>
    <row r="752" spans="1:7" x14ac:dyDescent="0.35">
      <c r="A752" t="s">
        <v>85</v>
      </c>
      <c r="B752" t="s">
        <v>116</v>
      </c>
      <c r="C752" t="s">
        <v>22</v>
      </c>
      <c r="D752">
        <v>62</v>
      </c>
      <c r="E752">
        <v>68</v>
      </c>
      <c r="F752">
        <v>6</v>
      </c>
      <c r="G752">
        <v>9.6999999999999993</v>
      </c>
    </row>
    <row r="753" spans="1:7" x14ac:dyDescent="0.35">
      <c r="A753" t="s">
        <v>86</v>
      </c>
      <c r="B753" t="s">
        <v>116</v>
      </c>
      <c r="C753" t="s">
        <v>22</v>
      </c>
      <c r="D753">
        <v>62</v>
      </c>
      <c r="E753">
        <v>72</v>
      </c>
      <c r="F753">
        <v>10</v>
      </c>
      <c r="G753">
        <v>16.100000000000001</v>
      </c>
    </row>
    <row r="754" spans="1:7" x14ac:dyDescent="0.35">
      <c r="A754" t="s">
        <v>87</v>
      </c>
      <c r="B754" t="s">
        <v>116</v>
      </c>
      <c r="C754" t="s">
        <v>22</v>
      </c>
      <c r="D754">
        <v>62</v>
      </c>
      <c r="E754">
        <v>69</v>
      </c>
      <c r="F754">
        <v>7</v>
      </c>
      <c r="G754">
        <v>11.3</v>
      </c>
    </row>
    <row r="755" spans="1:7" x14ac:dyDescent="0.35">
      <c r="A755" t="s">
        <v>88</v>
      </c>
      <c r="B755" t="s">
        <v>116</v>
      </c>
      <c r="C755" t="s">
        <v>22</v>
      </c>
      <c r="D755">
        <v>62</v>
      </c>
      <c r="E755">
        <v>50</v>
      </c>
      <c r="F755">
        <v>-12</v>
      </c>
      <c r="G755">
        <v>-19.399999999999999</v>
      </c>
    </row>
    <row r="756" spans="1:7" x14ac:dyDescent="0.35">
      <c r="A756" t="s">
        <v>89</v>
      </c>
      <c r="B756" t="s">
        <v>116</v>
      </c>
      <c r="C756" t="s">
        <v>22</v>
      </c>
      <c r="D756">
        <v>59</v>
      </c>
      <c r="E756">
        <v>51</v>
      </c>
      <c r="F756">
        <v>-8</v>
      </c>
      <c r="G756">
        <v>-13.6</v>
      </c>
    </row>
    <row r="757" spans="1:7" x14ac:dyDescent="0.35">
      <c r="A757" t="s">
        <v>90</v>
      </c>
      <c r="B757" t="s">
        <v>116</v>
      </c>
      <c r="C757" t="s">
        <v>22</v>
      </c>
      <c r="D757">
        <v>68</v>
      </c>
      <c r="E757">
        <v>49</v>
      </c>
      <c r="F757">
        <v>-19</v>
      </c>
      <c r="G757">
        <v>-27.9</v>
      </c>
    </row>
    <row r="758" spans="1:7" x14ac:dyDescent="0.35">
      <c r="A758" t="s">
        <v>91</v>
      </c>
      <c r="B758" t="s">
        <v>116</v>
      </c>
      <c r="C758" t="s">
        <v>22</v>
      </c>
      <c r="D758">
        <v>66</v>
      </c>
      <c r="E758">
        <v>61</v>
      </c>
      <c r="F758">
        <v>-5</v>
      </c>
      <c r="G758">
        <v>-7.6</v>
      </c>
    </row>
    <row r="759" spans="1:7" x14ac:dyDescent="0.35">
      <c r="A759" t="s">
        <v>92</v>
      </c>
      <c r="B759" t="s">
        <v>116</v>
      </c>
      <c r="C759" t="s">
        <v>22</v>
      </c>
      <c r="D759">
        <v>70</v>
      </c>
      <c r="E759">
        <v>68</v>
      </c>
      <c r="F759">
        <v>-2</v>
      </c>
      <c r="G759">
        <v>-2.9</v>
      </c>
    </row>
    <row r="760" spans="1:7" x14ac:dyDescent="0.35">
      <c r="A760" t="s">
        <v>93</v>
      </c>
      <c r="B760" t="s">
        <v>116</v>
      </c>
      <c r="C760" t="s">
        <v>22</v>
      </c>
      <c r="D760">
        <v>69</v>
      </c>
      <c r="E760">
        <v>53</v>
      </c>
      <c r="F760">
        <v>-16</v>
      </c>
      <c r="G760">
        <v>-23.2</v>
      </c>
    </row>
    <row r="761" spans="1:7" x14ac:dyDescent="0.35">
      <c r="A761" t="s">
        <v>94</v>
      </c>
      <c r="B761" t="s">
        <v>116</v>
      </c>
      <c r="C761" t="s">
        <v>22</v>
      </c>
      <c r="D761">
        <v>66</v>
      </c>
      <c r="E761">
        <v>86</v>
      </c>
      <c r="F761">
        <v>20</v>
      </c>
      <c r="G761">
        <v>30.3</v>
      </c>
    </row>
    <row r="762" spans="1:7" x14ac:dyDescent="0.35">
      <c r="A762" t="s">
        <v>95</v>
      </c>
      <c r="B762" t="s">
        <v>116</v>
      </c>
      <c r="C762" t="s">
        <v>22</v>
      </c>
      <c r="D762">
        <v>73</v>
      </c>
      <c r="E762">
        <v>71</v>
      </c>
      <c r="F762">
        <v>-2</v>
      </c>
      <c r="G762">
        <v>-2.7</v>
      </c>
    </row>
    <row r="763" spans="1:7" x14ac:dyDescent="0.35">
      <c r="A763" t="s">
        <v>96</v>
      </c>
      <c r="B763" t="s">
        <v>116</v>
      </c>
      <c r="C763" t="s">
        <v>22</v>
      </c>
      <c r="D763">
        <v>75</v>
      </c>
      <c r="E763">
        <v>83</v>
      </c>
      <c r="F763">
        <v>8</v>
      </c>
      <c r="G763">
        <v>10.7</v>
      </c>
    </row>
    <row r="764" spans="1:7" x14ac:dyDescent="0.35">
      <c r="A764" t="s">
        <v>97</v>
      </c>
      <c r="B764" t="s">
        <v>116</v>
      </c>
      <c r="C764" t="s">
        <v>22</v>
      </c>
      <c r="D764">
        <v>66</v>
      </c>
      <c r="E764">
        <v>89</v>
      </c>
      <c r="F764">
        <v>23</v>
      </c>
      <c r="G764">
        <v>34.799999999999997</v>
      </c>
    </row>
    <row r="765" spans="1:7" x14ac:dyDescent="0.35">
      <c r="A765" t="s">
        <v>98</v>
      </c>
      <c r="B765" t="s">
        <v>116</v>
      </c>
      <c r="C765" t="s">
        <v>22</v>
      </c>
      <c r="D765">
        <v>76</v>
      </c>
      <c r="E765">
        <v>72</v>
      </c>
      <c r="F765">
        <v>-4</v>
      </c>
      <c r="G765">
        <v>-5.3</v>
      </c>
    </row>
    <row r="766" spans="1:7" x14ac:dyDescent="0.35">
      <c r="A766" t="s">
        <v>99</v>
      </c>
      <c r="B766" t="s">
        <v>116</v>
      </c>
      <c r="C766" t="s">
        <v>22</v>
      </c>
      <c r="D766">
        <v>77</v>
      </c>
      <c r="E766">
        <v>69</v>
      </c>
      <c r="F766">
        <v>-8</v>
      </c>
      <c r="G766">
        <v>-10.4</v>
      </c>
    </row>
    <row r="767" spans="1:7" x14ac:dyDescent="0.35">
      <c r="A767" t="s">
        <v>100</v>
      </c>
      <c r="B767" t="s">
        <v>116</v>
      </c>
      <c r="C767" t="s">
        <v>22</v>
      </c>
      <c r="D767">
        <v>82</v>
      </c>
      <c r="E767">
        <v>87</v>
      </c>
      <c r="F767">
        <v>5</v>
      </c>
      <c r="G767">
        <v>6.1</v>
      </c>
    </row>
    <row r="768" spans="1:7" x14ac:dyDescent="0.35">
      <c r="A768" t="s">
        <v>101</v>
      </c>
      <c r="B768" t="s">
        <v>116</v>
      </c>
      <c r="C768" t="s">
        <v>22</v>
      </c>
      <c r="D768">
        <v>79</v>
      </c>
      <c r="E768">
        <v>65</v>
      </c>
      <c r="F768">
        <v>-14</v>
      </c>
      <c r="G768">
        <v>-17.7</v>
      </c>
    </row>
    <row r="769" spans="1:7" x14ac:dyDescent="0.35">
      <c r="A769" t="s">
        <v>102</v>
      </c>
      <c r="B769" t="s">
        <v>116</v>
      </c>
      <c r="C769" t="s">
        <v>22</v>
      </c>
      <c r="D769">
        <v>86</v>
      </c>
      <c r="E769">
        <v>76</v>
      </c>
      <c r="F769">
        <v>-10</v>
      </c>
      <c r="G769">
        <v>-11.6</v>
      </c>
    </row>
    <row r="770" spans="1:7" x14ac:dyDescent="0.35">
      <c r="A770" t="s">
        <v>103</v>
      </c>
      <c r="B770" t="s">
        <v>116</v>
      </c>
      <c r="C770" t="s">
        <v>22</v>
      </c>
      <c r="D770">
        <v>86</v>
      </c>
      <c r="E770">
        <v>62</v>
      </c>
      <c r="F770">
        <v>-24</v>
      </c>
      <c r="G770">
        <v>-27.9</v>
      </c>
    </row>
    <row r="771" spans="1:7" x14ac:dyDescent="0.35">
      <c r="A771" t="s">
        <v>104</v>
      </c>
      <c r="B771" t="s">
        <v>116</v>
      </c>
      <c r="C771" t="s">
        <v>22</v>
      </c>
      <c r="D771">
        <v>73</v>
      </c>
      <c r="E771">
        <v>66</v>
      </c>
      <c r="F771">
        <v>-7</v>
      </c>
      <c r="G771">
        <v>-9.6</v>
      </c>
    </row>
    <row r="772" spans="1:7" x14ac:dyDescent="0.35">
      <c r="A772" t="s">
        <v>105</v>
      </c>
      <c r="B772" t="s">
        <v>116</v>
      </c>
      <c r="C772" t="s">
        <v>22</v>
      </c>
      <c r="D772">
        <v>74</v>
      </c>
      <c r="E772">
        <v>72</v>
      </c>
      <c r="F772">
        <v>-2</v>
      </c>
      <c r="G772">
        <v>-2.7</v>
      </c>
    </row>
    <row r="773" spans="1:7" x14ac:dyDescent="0.35">
      <c r="A773" t="s">
        <v>106</v>
      </c>
      <c r="B773" t="s">
        <v>116</v>
      </c>
      <c r="C773" t="s">
        <v>22</v>
      </c>
      <c r="D773">
        <v>83</v>
      </c>
      <c r="E773">
        <v>73</v>
      </c>
      <c r="F773">
        <v>-10</v>
      </c>
      <c r="G773">
        <v>-12</v>
      </c>
    </row>
    <row r="774" spans="1:7" x14ac:dyDescent="0.35">
      <c r="A774" t="s">
        <v>107</v>
      </c>
      <c r="B774" t="s">
        <v>116</v>
      </c>
      <c r="C774" t="s">
        <v>22</v>
      </c>
      <c r="D774">
        <v>87</v>
      </c>
      <c r="E774">
        <v>95</v>
      </c>
      <c r="F774">
        <v>8</v>
      </c>
      <c r="G774">
        <v>9.1999999999999993</v>
      </c>
    </row>
    <row r="775" spans="1:7" x14ac:dyDescent="0.35">
      <c r="A775" t="s">
        <v>108</v>
      </c>
      <c r="B775" t="s">
        <v>116</v>
      </c>
      <c r="C775" t="s">
        <v>22</v>
      </c>
      <c r="D775">
        <v>85</v>
      </c>
      <c r="E775">
        <v>70</v>
      </c>
      <c r="F775">
        <v>-15</v>
      </c>
      <c r="G775">
        <v>-17.600000000000001</v>
      </c>
    </row>
    <row r="776" spans="1:7" x14ac:dyDescent="0.35">
      <c r="A776" t="s">
        <v>109</v>
      </c>
      <c r="B776" t="s">
        <v>116</v>
      </c>
      <c r="C776" t="s">
        <v>22</v>
      </c>
      <c r="D776">
        <v>82</v>
      </c>
      <c r="E776">
        <v>82</v>
      </c>
      <c r="F776">
        <v>0</v>
      </c>
      <c r="G776">
        <v>0</v>
      </c>
    </row>
    <row r="777" spans="1:7" x14ac:dyDescent="0.35">
      <c r="A777" t="s">
        <v>110</v>
      </c>
      <c r="B777" t="s">
        <v>116</v>
      </c>
      <c r="C777" t="s">
        <v>22</v>
      </c>
      <c r="D777">
        <v>74</v>
      </c>
      <c r="E777">
        <v>72</v>
      </c>
      <c r="F777">
        <v>-2</v>
      </c>
      <c r="G777">
        <v>-2.7</v>
      </c>
    </row>
    <row r="778" spans="1:7" x14ac:dyDescent="0.35">
      <c r="A778" t="s">
        <v>111</v>
      </c>
      <c r="B778" t="s">
        <v>116</v>
      </c>
      <c r="C778" t="s">
        <v>22</v>
      </c>
      <c r="D778">
        <v>80</v>
      </c>
      <c r="E778">
        <v>80</v>
      </c>
      <c r="F778">
        <v>0</v>
      </c>
      <c r="G778">
        <v>0</v>
      </c>
    </row>
    <row r="779" spans="1:7" x14ac:dyDescent="0.35">
      <c r="A779" t="s">
        <v>112</v>
      </c>
      <c r="B779" t="s">
        <v>116</v>
      </c>
      <c r="C779" t="s">
        <v>22</v>
      </c>
      <c r="D779">
        <v>74</v>
      </c>
      <c r="E779">
        <v>97</v>
      </c>
      <c r="F779">
        <v>23</v>
      </c>
      <c r="G779">
        <v>31.1</v>
      </c>
    </row>
    <row r="780" spans="1:7" x14ac:dyDescent="0.35">
      <c r="A780" t="s">
        <v>113</v>
      </c>
      <c r="B780" t="s">
        <v>116</v>
      </c>
      <c r="C780" t="s">
        <v>22</v>
      </c>
      <c r="D780">
        <v>74</v>
      </c>
      <c r="E780">
        <v>86</v>
      </c>
      <c r="F780">
        <v>12</v>
      </c>
      <c r="G780">
        <v>16.2</v>
      </c>
    </row>
    <row r="781" spans="1:7" x14ac:dyDescent="0.35">
      <c r="A781" t="s">
        <v>114</v>
      </c>
      <c r="B781" t="s">
        <v>116</v>
      </c>
      <c r="C781" t="s">
        <v>22</v>
      </c>
      <c r="D781">
        <v>83</v>
      </c>
      <c r="E781">
        <v>84</v>
      </c>
      <c r="F781">
        <v>1</v>
      </c>
      <c r="G781">
        <v>1.2</v>
      </c>
    </row>
    <row r="782" spans="1:7" x14ac:dyDescent="0.35">
      <c r="A782" t="s">
        <v>62</v>
      </c>
      <c r="B782" t="s">
        <v>116</v>
      </c>
      <c r="C782" t="s">
        <v>27</v>
      </c>
      <c r="D782">
        <v>66</v>
      </c>
      <c r="E782">
        <v>86</v>
      </c>
      <c r="F782">
        <v>20</v>
      </c>
      <c r="G782">
        <v>30.3</v>
      </c>
    </row>
    <row r="783" spans="1:7" x14ac:dyDescent="0.35">
      <c r="A783" t="s">
        <v>64</v>
      </c>
      <c r="B783" t="s">
        <v>116</v>
      </c>
      <c r="C783" t="s">
        <v>27</v>
      </c>
      <c r="D783">
        <v>69</v>
      </c>
      <c r="E783">
        <v>93</v>
      </c>
      <c r="F783">
        <v>24</v>
      </c>
      <c r="G783">
        <v>34.799999999999997</v>
      </c>
    </row>
    <row r="784" spans="1:7" x14ac:dyDescent="0.35">
      <c r="A784" t="s">
        <v>65</v>
      </c>
      <c r="B784" t="s">
        <v>116</v>
      </c>
      <c r="C784" t="s">
        <v>27</v>
      </c>
      <c r="D784">
        <v>83</v>
      </c>
      <c r="E784">
        <v>69</v>
      </c>
      <c r="F784">
        <v>-14</v>
      </c>
      <c r="G784">
        <v>-16.899999999999999</v>
      </c>
    </row>
    <row r="785" spans="1:7" x14ac:dyDescent="0.35">
      <c r="A785" t="s">
        <v>66</v>
      </c>
      <c r="B785" t="s">
        <v>116</v>
      </c>
      <c r="C785" t="s">
        <v>27</v>
      </c>
      <c r="D785">
        <v>77</v>
      </c>
      <c r="E785">
        <v>84</v>
      </c>
      <c r="F785">
        <v>7</v>
      </c>
      <c r="G785">
        <v>9.1</v>
      </c>
    </row>
    <row r="786" spans="1:7" x14ac:dyDescent="0.35">
      <c r="A786" t="s">
        <v>67</v>
      </c>
      <c r="B786" t="s">
        <v>116</v>
      </c>
      <c r="C786" t="s">
        <v>27</v>
      </c>
      <c r="D786">
        <v>86</v>
      </c>
      <c r="E786">
        <v>64</v>
      </c>
      <c r="F786">
        <v>-22</v>
      </c>
      <c r="G786">
        <v>-25.6</v>
      </c>
    </row>
    <row r="787" spans="1:7" x14ac:dyDescent="0.35">
      <c r="A787" t="s">
        <v>68</v>
      </c>
      <c r="B787" t="s">
        <v>116</v>
      </c>
      <c r="C787" t="s">
        <v>27</v>
      </c>
      <c r="D787">
        <v>94</v>
      </c>
      <c r="E787">
        <v>89</v>
      </c>
      <c r="F787">
        <v>-5</v>
      </c>
      <c r="G787">
        <v>-5.3</v>
      </c>
    </row>
    <row r="788" spans="1:7" x14ac:dyDescent="0.35">
      <c r="A788" t="s">
        <v>69</v>
      </c>
      <c r="B788" t="s">
        <v>116</v>
      </c>
      <c r="C788" t="s">
        <v>27</v>
      </c>
      <c r="D788">
        <v>92</v>
      </c>
      <c r="E788">
        <v>81</v>
      </c>
      <c r="F788">
        <v>-11</v>
      </c>
      <c r="G788">
        <v>-12</v>
      </c>
    </row>
    <row r="789" spans="1:7" x14ac:dyDescent="0.35">
      <c r="A789" t="s">
        <v>70</v>
      </c>
      <c r="B789" t="s">
        <v>116</v>
      </c>
      <c r="C789" t="s">
        <v>27</v>
      </c>
      <c r="D789">
        <v>88</v>
      </c>
      <c r="E789">
        <v>107</v>
      </c>
      <c r="F789">
        <v>19</v>
      </c>
      <c r="G789">
        <v>21.6</v>
      </c>
    </row>
    <row r="790" spans="1:7" x14ac:dyDescent="0.35">
      <c r="A790" t="s">
        <v>71</v>
      </c>
      <c r="B790" t="s">
        <v>116</v>
      </c>
      <c r="C790" t="s">
        <v>27</v>
      </c>
      <c r="D790">
        <v>93</v>
      </c>
      <c r="E790">
        <v>93</v>
      </c>
      <c r="F790">
        <v>0</v>
      </c>
      <c r="G790">
        <v>0</v>
      </c>
    </row>
    <row r="791" spans="1:7" x14ac:dyDescent="0.35">
      <c r="A791" t="s">
        <v>72</v>
      </c>
      <c r="B791" t="s">
        <v>116</v>
      </c>
      <c r="C791" t="s">
        <v>27</v>
      </c>
      <c r="D791">
        <v>102</v>
      </c>
      <c r="E791">
        <v>81</v>
      </c>
      <c r="F791">
        <v>-21</v>
      </c>
      <c r="G791">
        <v>-20.6</v>
      </c>
    </row>
    <row r="792" spans="1:7" x14ac:dyDescent="0.35">
      <c r="A792" t="s">
        <v>73</v>
      </c>
      <c r="B792" t="s">
        <v>116</v>
      </c>
      <c r="C792" t="s">
        <v>27</v>
      </c>
      <c r="D792">
        <v>99</v>
      </c>
      <c r="E792">
        <v>99</v>
      </c>
      <c r="F792">
        <v>0</v>
      </c>
      <c r="G792">
        <v>0</v>
      </c>
    </row>
    <row r="793" spans="1:7" x14ac:dyDescent="0.35">
      <c r="A793" t="s">
        <v>74</v>
      </c>
      <c r="B793" t="s">
        <v>116</v>
      </c>
      <c r="C793" t="s">
        <v>27</v>
      </c>
      <c r="D793">
        <v>100</v>
      </c>
      <c r="E793">
        <v>85</v>
      </c>
      <c r="F793">
        <v>-15</v>
      </c>
      <c r="G793">
        <v>-15</v>
      </c>
    </row>
    <row r="794" spans="1:7" x14ac:dyDescent="0.35">
      <c r="A794" t="s">
        <v>75</v>
      </c>
      <c r="B794" t="s">
        <v>116</v>
      </c>
      <c r="C794" t="s">
        <v>27</v>
      </c>
      <c r="D794">
        <v>114</v>
      </c>
      <c r="E794">
        <v>97</v>
      </c>
      <c r="F794">
        <v>-17</v>
      </c>
      <c r="G794">
        <v>-14.9</v>
      </c>
    </row>
    <row r="795" spans="1:7" x14ac:dyDescent="0.35">
      <c r="A795" t="s">
        <v>76</v>
      </c>
      <c r="B795" t="s">
        <v>116</v>
      </c>
      <c r="C795" t="s">
        <v>27</v>
      </c>
      <c r="D795">
        <v>120</v>
      </c>
      <c r="E795">
        <v>101</v>
      </c>
      <c r="F795">
        <v>-19</v>
      </c>
      <c r="G795">
        <v>-15.8</v>
      </c>
    </row>
    <row r="796" spans="1:7" x14ac:dyDescent="0.35">
      <c r="A796" t="s">
        <v>77</v>
      </c>
      <c r="B796" t="s">
        <v>116</v>
      </c>
      <c r="C796" t="s">
        <v>27</v>
      </c>
      <c r="D796">
        <v>109</v>
      </c>
      <c r="E796">
        <v>126</v>
      </c>
      <c r="F796">
        <v>17</v>
      </c>
      <c r="G796">
        <v>15.6</v>
      </c>
    </row>
    <row r="797" spans="1:7" x14ac:dyDescent="0.35">
      <c r="A797" t="s">
        <v>78</v>
      </c>
      <c r="B797" t="s">
        <v>116</v>
      </c>
      <c r="C797" t="s">
        <v>27</v>
      </c>
      <c r="D797">
        <v>115</v>
      </c>
      <c r="E797">
        <v>92</v>
      </c>
      <c r="F797">
        <v>-23</v>
      </c>
      <c r="G797">
        <v>-20</v>
      </c>
    </row>
    <row r="798" spans="1:7" x14ac:dyDescent="0.35">
      <c r="A798" t="s">
        <v>79</v>
      </c>
      <c r="B798" t="s">
        <v>116</v>
      </c>
      <c r="C798" t="s">
        <v>27</v>
      </c>
      <c r="D798">
        <v>111</v>
      </c>
      <c r="E798">
        <v>95</v>
      </c>
      <c r="F798">
        <v>-16</v>
      </c>
      <c r="G798">
        <v>-14.4</v>
      </c>
    </row>
    <row r="799" spans="1:7" x14ac:dyDescent="0.35">
      <c r="A799" t="s">
        <v>80</v>
      </c>
      <c r="B799" t="s">
        <v>116</v>
      </c>
      <c r="C799" t="s">
        <v>27</v>
      </c>
      <c r="D799">
        <v>119</v>
      </c>
      <c r="E799">
        <v>98</v>
      </c>
      <c r="F799">
        <v>-21</v>
      </c>
      <c r="G799">
        <v>-17.600000000000001</v>
      </c>
    </row>
    <row r="800" spans="1:7" x14ac:dyDescent="0.35">
      <c r="A800" t="s">
        <v>81</v>
      </c>
      <c r="B800" t="s">
        <v>116</v>
      </c>
      <c r="C800" t="s">
        <v>27</v>
      </c>
      <c r="D800">
        <v>112</v>
      </c>
      <c r="E800">
        <v>150</v>
      </c>
      <c r="F800">
        <v>38</v>
      </c>
      <c r="G800">
        <v>33.9</v>
      </c>
    </row>
    <row r="801" spans="1:7" x14ac:dyDescent="0.35">
      <c r="A801" t="s">
        <v>82</v>
      </c>
      <c r="B801" t="s">
        <v>116</v>
      </c>
      <c r="C801" t="s">
        <v>27</v>
      </c>
      <c r="D801">
        <v>135</v>
      </c>
      <c r="E801">
        <v>120</v>
      </c>
      <c r="F801">
        <v>-15</v>
      </c>
      <c r="G801">
        <v>-11.1</v>
      </c>
    </row>
    <row r="802" spans="1:7" x14ac:dyDescent="0.35">
      <c r="A802" t="s">
        <v>83</v>
      </c>
      <c r="B802" t="s">
        <v>116</v>
      </c>
      <c r="C802" t="s">
        <v>27</v>
      </c>
      <c r="D802">
        <v>140</v>
      </c>
      <c r="E802">
        <v>154</v>
      </c>
      <c r="F802">
        <v>14</v>
      </c>
      <c r="G802">
        <v>10</v>
      </c>
    </row>
    <row r="803" spans="1:7" x14ac:dyDescent="0.35">
      <c r="A803" t="s">
        <v>84</v>
      </c>
      <c r="B803" t="s">
        <v>116</v>
      </c>
      <c r="C803" t="s">
        <v>27</v>
      </c>
      <c r="D803">
        <v>139</v>
      </c>
      <c r="E803">
        <v>160</v>
      </c>
      <c r="F803">
        <v>21</v>
      </c>
      <c r="G803">
        <v>15.1</v>
      </c>
    </row>
    <row r="804" spans="1:7" x14ac:dyDescent="0.35">
      <c r="A804" t="s">
        <v>85</v>
      </c>
      <c r="B804" t="s">
        <v>116</v>
      </c>
      <c r="C804" t="s">
        <v>27</v>
      </c>
      <c r="D804">
        <v>140</v>
      </c>
      <c r="E804">
        <v>113</v>
      </c>
      <c r="F804">
        <v>-27</v>
      </c>
      <c r="G804">
        <v>-19.3</v>
      </c>
    </row>
    <row r="805" spans="1:7" x14ac:dyDescent="0.35">
      <c r="A805" t="s">
        <v>86</v>
      </c>
      <c r="B805" t="s">
        <v>116</v>
      </c>
      <c r="C805" t="s">
        <v>27</v>
      </c>
      <c r="D805">
        <v>127</v>
      </c>
      <c r="E805">
        <v>171</v>
      </c>
      <c r="F805">
        <v>44</v>
      </c>
      <c r="G805">
        <v>34.6</v>
      </c>
    </row>
    <row r="806" spans="1:7" x14ac:dyDescent="0.35">
      <c r="A806" t="s">
        <v>87</v>
      </c>
      <c r="B806" t="s">
        <v>116</v>
      </c>
      <c r="C806" t="s">
        <v>27</v>
      </c>
      <c r="D806">
        <v>138</v>
      </c>
      <c r="E806">
        <v>166</v>
      </c>
      <c r="F806">
        <v>28</v>
      </c>
      <c r="G806">
        <v>20.3</v>
      </c>
    </row>
    <row r="807" spans="1:7" x14ac:dyDescent="0.35">
      <c r="A807" t="s">
        <v>88</v>
      </c>
      <c r="B807" t="s">
        <v>116</v>
      </c>
      <c r="C807" t="s">
        <v>27</v>
      </c>
      <c r="D807">
        <v>142</v>
      </c>
      <c r="E807">
        <v>113</v>
      </c>
      <c r="F807">
        <v>-29</v>
      </c>
      <c r="G807">
        <v>-20.399999999999999</v>
      </c>
    </row>
    <row r="808" spans="1:7" x14ac:dyDescent="0.35">
      <c r="A808" t="s">
        <v>89</v>
      </c>
      <c r="B808" t="s">
        <v>116</v>
      </c>
      <c r="C808" t="s">
        <v>27</v>
      </c>
      <c r="D808">
        <v>142</v>
      </c>
      <c r="E808">
        <v>142</v>
      </c>
      <c r="F808">
        <v>0</v>
      </c>
      <c r="G808">
        <v>0</v>
      </c>
    </row>
    <row r="809" spans="1:7" x14ac:dyDescent="0.35">
      <c r="A809" t="s">
        <v>90</v>
      </c>
      <c r="B809" t="s">
        <v>116</v>
      </c>
      <c r="C809" t="s">
        <v>27</v>
      </c>
      <c r="D809">
        <v>140</v>
      </c>
      <c r="E809">
        <v>154</v>
      </c>
      <c r="F809">
        <v>14</v>
      </c>
      <c r="G809">
        <v>10</v>
      </c>
    </row>
    <row r="810" spans="1:7" x14ac:dyDescent="0.35">
      <c r="A810" t="s">
        <v>91</v>
      </c>
      <c r="B810" t="s">
        <v>116</v>
      </c>
      <c r="C810" t="s">
        <v>27</v>
      </c>
      <c r="D810">
        <v>137</v>
      </c>
      <c r="E810">
        <v>134</v>
      </c>
      <c r="F810">
        <v>-3</v>
      </c>
      <c r="G810">
        <v>-2.2000000000000002</v>
      </c>
    </row>
    <row r="811" spans="1:7" x14ac:dyDescent="0.35">
      <c r="A811" t="s">
        <v>92</v>
      </c>
      <c r="B811" t="s">
        <v>116</v>
      </c>
      <c r="C811" t="s">
        <v>27</v>
      </c>
      <c r="D811">
        <v>156</v>
      </c>
      <c r="E811">
        <v>179</v>
      </c>
      <c r="F811">
        <v>23</v>
      </c>
      <c r="G811">
        <v>14.7</v>
      </c>
    </row>
    <row r="812" spans="1:7" x14ac:dyDescent="0.35">
      <c r="A812" t="s">
        <v>93</v>
      </c>
      <c r="B812" t="s">
        <v>116</v>
      </c>
      <c r="C812" t="s">
        <v>27</v>
      </c>
      <c r="D812">
        <v>161</v>
      </c>
      <c r="E812">
        <v>139</v>
      </c>
      <c r="F812">
        <v>-22</v>
      </c>
      <c r="G812">
        <v>-13.7</v>
      </c>
    </row>
    <row r="813" spans="1:7" x14ac:dyDescent="0.35">
      <c r="A813" t="s">
        <v>94</v>
      </c>
      <c r="B813" t="s">
        <v>116</v>
      </c>
      <c r="C813" t="s">
        <v>27</v>
      </c>
      <c r="D813">
        <v>143</v>
      </c>
      <c r="E813">
        <v>127</v>
      </c>
      <c r="F813">
        <v>-16</v>
      </c>
      <c r="G813">
        <v>-11.2</v>
      </c>
    </row>
    <row r="814" spans="1:7" x14ac:dyDescent="0.35">
      <c r="A814" t="s">
        <v>95</v>
      </c>
      <c r="B814" t="s">
        <v>116</v>
      </c>
      <c r="C814" t="s">
        <v>27</v>
      </c>
      <c r="D814">
        <v>150</v>
      </c>
      <c r="E814">
        <v>142</v>
      </c>
      <c r="F814">
        <v>-8</v>
      </c>
      <c r="G814">
        <v>-5.3</v>
      </c>
    </row>
    <row r="815" spans="1:7" x14ac:dyDescent="0.35">
      <c r="A815" t="s">
        <v>96</v>
      </c>
      <c r="B815" t="s">
        <v>116</v>
      </c>
      <c r="C815" t="s">
        <v>27</v>
      </c>
      <c r="D815">
        <v>160</v>
      </c>
      <c r="E815">
        <v>156</v>
      </c>
      <c r="F815">
        <v>-4</v>
      </c>
      <c r="G815">
        <v>-2.5</v>
      </c>
    </row>
    <row r="816" spans="1:7" x14ac:dyDescent="0.35">
      <c r="A816" t="s">
        <v>97</v>
      </c>
      <c r="B816" t="s">
        <v>116</v>
      </c>
      <c r="C816" t="s">
        <v>27</v>
      </c>
      <c r="D816">
        <v>152</v>
      </c>
      <c r="E816">
        <v>129</v>
      </c>
      <c r="F816">
        <v>-23</v>
      </c>
      <c r="G816">
        <v>-15.1</v>
      </c>
    </row>
    <row r="817" spans="1:7" x14ac:dyDescent="0.35">
      <c r="A817" t="s">
        <v>98</v>
      </c>
      <c r="B817" t="s">
        <v>116</v>
      </c>
      <c r="C817" t="s">
        <v>27</v>
      </c>
      <c r="D817">
        <v>172</v>
      </c>
      <c r="E817">
        <v>158</v>
      </c>
      <c r="F817">
        <v>-14</v>
      </c>
      <c r="G817">
        <v>-8.1</v>
      </c>
    </row>
    <row r="818" spans="1:7" x14ac:dyDescent="0.35">
      <c r="A818" t="s">
        <v>99</v>
      </c>
      <c r="B818" t="s">
        <v>116</v>
      </c>
      <c r="C818" t="s">
        <v>27</v>
      </c>
      <c r="D818">
        <v>165</v>
      </c>
      <c r="E818">
        <v>163</v>
      </c>
      <c r="F818">
        <v>-2</v>
      </c>
      <c r="G818">
        <v>-1.2</v>
      </c>
    </row>
    <row r="819" spans="1:7" x14ac:dyDescent="0.35">
      <c r="A819" t="s">
        <v>100</v>
      </c>
      <c r="B819" t="s">
        <v>116</v>
      </c>
      <c r="C819" t="s">
        <v>27</v>
      </c>
      <c r="D819">
        <v>173</v>
      </c>
      <c r="E819">
        <v>180</v>
      </c>
      <c r="F819">
        <v>7</v>
      </c>
      <c r="G819">
        <v>4</v>
      </c>
    </row>
    <row r="820" spans="1:7" x14ac:dyDescent="0.35">
      <c r="A820" t="s">
        <v>101</v>
      </c>
      <c r="B820" t="s">
        <v>116</v>
      </c>
      <c r="C820" t="s">
        <v>27</v>
      </c>
      <c r="D820">
        <v>190</v>
      </c>
      <c r="E820">
        <v>189</v>
      </c>
      <c r="F820">
        <v>-1</v>
      </c>
      <c r="G820">
        <v>-0.5</v>
      </c>
    </row>
    <row r="821" spans="1:7" x14ac:dyDescent="0.35">
      <c r="A821" t="s">
        <v>102</v>
      </c>
      <c r="B821" t="s">
        <v>116</v>
      </c>
      <c r="C821" t="s">
        <v>27</v>
      </c>
      <c r="D821">
        <v>185</v>
      </c>
      <c r="E821">
        <v>147</v>
      </c>
      <c r="F821">
        <v>-38</v>
      </c>
      <c r="G821">
        <v>-20.5</v>
      </c>
    </row>
    <row r="822" spans="1:7" x14ac:dyDescent="0.35">
      <c r="A822" t="s">
        <v>103</v>
      </c>
      <c r="B822" t="s">
        <v>116</v>
      </c>
      <c r="C822" t="s">
        <v>27</v>
      </c>
      <c r="D822">
        <v>169</v>
      </c>
      <c r="E822">
        <v>172</v>
      </c>
      <c r="F822">
        <v>3</v>
      </c>
      <c r="G822">
        <v>1.8</v>
      </c>
    </row>
    <row r="823" spans="1:7" x14ac:dyDescent="0.35">
      <c r="A823" t="s">
        <v>104</v>
      </c>
      <c r="B823" t="s">
        <v>116</v>
      </c>
      <c r="C823" t="s">
        <v>27</v>
      </c>
      <c r="D823">
        <v>201</v>
      </c>
      <c r="E823">
        <v>189</v>
      </c>
      <c r="F823">
        <v>-12</v>
      </c>
      <c r="G823">
        <v>-6</v>
      </c>
    </row>
    <row r="824" spans="1:7" x14ac:dyDescent="0.35">
      <c r="A824" t="s">
        <v>105</v>
      </c>
      <c r="B824" t="s">
        <v>116</v>
      </c>
      <c r="C824" t="s">
        <v>27</v>
      </c>
      <c r="D824">
        <v>179</v>
      </c>
      <c r="E824">
        <v>151</v>
      </c>
      <c r="F824">
        <v>-28</v>
      </c>
      <c r="G824">
        <v>-15.6</v>
      </c>
    </row>
    <row r="825" spans="1:7" x14ac:dyDescent="0.35">
      <c r="A825" t="s">
        <v>106</v>
      </c>
      <c r="B825" t="s">
        <v>116</v>
      </c>
      <c r="C825" t="s">
        <v>27</v>
      </c>
      <c r="D825">
        <v>187</v>
      </c>
      <c r="E825">
        <v>174</v>
      </c>
      <c r="F825">
        <v>-13</v>
      </c>
      <c r="G825">
        <v>-7</v>
      </c>
    </row>
    <row r="826" spans="1:7" x14ac:dyDescent="0.35">
      <c r="A826" t="s">
        <v>107</v>
      </c>
      <c r="B826" t="s">
        <v>116</v>
      </c>
      <c r="C826" t="s">
        <v>27</v>
      </c>
      <c r="D826">
        <v>167</v>
      </c>
      <c r="E826">
        <v>141</v>
      </c>
      <c r="F826">
        <v>-26</v>
      </c>
      <c r="G826">
        <v>-15.6</v>
      </c>
    </row>
    <row r="827" spans="1:7" x14ac:dyDescent="0.35">
      <c r="A827" t="s">
        <v>108</v>
      </c>
      <c r="B827" t="s">
        <v>116</v>
      </c>
      <c r="C827" t="s">
        <v>27</v>
      </c>
      <c r="D827">
        <v>191</v>
      </c>
      <c r="E827">
        <v>211</v>
      </c>
      <c r="F827">
        <v>20</v>
      </c>
      <c r="G827">
        <v>10.5</v>
      </c>
    </row>
    <row r="828" spans="1:7" x14ac:dyDescent="0.35">
      <c r="A828" t="s">
        <v>109</v>
      </c>
      <c r="B828" t="s">
        <v>116</v>
      </c>
      <c r="C828" t="s">
        <v>27</v>
      </c>
      <c r="D828">
        <v>184</v>
      </c>
      <c r="E828">
        <v>151</v>
      </c>
      <c r="F828">
        <v>-33</v>
      </c>
      <c r="G828">
        <v>-17.899999999999999</v>
      </c>
    </row>
    <row r="829" spans="1:7" x14ac:dyDescent="0.35">
      <c r="A829" t="s">
        <v>110</v>
      </c>
      <c r="B829" t="s">
        <v>116</v>
      </c>
      <c r="C829" t="s">
        <v>27</v>
      </c>
      <c r="D829">
        <v>198</v>
      </c>
      <c r="E829">
        <v>150</v>
      </c>
      <c r="F829">
        <v>-48</v>
      </c>
      <c r="G829">
        <v>-24.2</v>
      </c>
    </row>
    <row r="830" spans="1:7" x14ac:dyDescent="0.35">
      <c r="A830" t="s">
        <v>111</v>
      </c>
      <c r="B830" t="s">
        <v>116</v>
      </c>
      <c r="C830" t="s">
        <v>27</v>
      </c>
      <c r="D830">
        <v>199</v>
      </c>
      <c r="E830">
        <v>167</v>
      </c>
      <c r="F830">
        <v>-32</v>
      </c>
      <c r="G830">
        <v>-16.100000000000001</v>
      </c>
    </row>
    <row r="831" spans="1:7" x14ac:dyDescent="0.35">
      <c r="A831" t="s">
        <v>112</v>
      </c>
      <c r="B831" t="s">
        <v>116</v>
      </c>
      <c r="C831" t="s">
        <v>27</v>
      </c>
      <c r="D831">
        <v>180</v>
      </c>
      <c r="E831">
        <v>194</v>
      </c>
      <c r="F831">
        <v>14</v>
      </c>
      <c r="G831">
        <v>7.8</v>
      </c>
    </row>
    <row r="832" spans="1:7" x14ac:dyDescent="0.35">
      <c r="A832" t="s">
        <v>113</v>
      </c>
      <c r="B832" t="s">
        <v>116</v>
      </c>
      <c r="C832" t="s">
        <v>27</v>
      </c>
      <c r="D832">
        <v>196</v>
      </c>
      <c r="E832">
        <v>192</v>
      </c>
      <c r="F832">
        <v>-4</v>
      </c>
      <c r="G832">
        <v>-2</v>
      </c>
    </row>
    <row r="833" spans="1:7" x14ac:dyDescent="0.35">
      <c r="A833" t="s">
        <v>114</v>
      </c>
      <c r="B833" t="s">
        <v>116</v>
      </c>
      <c r="C833" t="s">
        <v>27</v>
      </c>
      <c r="D833">
        <v>184</v>
      </c>
      <c r="E833">
        <v>184</v>
      </c>
      <c r="F833">
        <v>0</v>
      </c>
      <c r="G833">
        <v>0</v>
      </c>
    </row>
    <row r="834" spans="1:7" x14ac:dyDescent="0.35">
      <c r="A834" t="s">
        <v>62</v>
      </c>
      <c r="B834" t="s">
        <v>116</v>
      </c>
      <c r="C834" t="s">
        <v>32</v>
      </c>
      <c r="D834">
        <v>68</v>
      </c>
      <c r="E834">
        <v>59</v>
      </c>
      <c r="F834">
        <v>-9</v>
      </c>
      <c r="G834">
        <v>-13.2</v>
      </c>
    </row>
    <row r="835" spans="1:7" x14ac:dyDescent="0.35">
      <c r="A835" t="s">
        <v>64</v>
      </c>
      <c r="B835" t="s">
        <v>116</v>
      </c>
      <c r="C835" t="s">
        <v>32</v>
      </c>
      <c r="D835">
        <v>72</v>
      </c>
      <c r="E835">
        <v>63</v>
      </c>
      <c r="F835">
        <v>-9</v>
      </c>
      <c r="G835">
        <v>-12.5</v>
      </c>
    </row>
    <row r="836" spans="1:7" x14ac:dyDescent="0.35">
      <c r="A836" t="s">
        <v>65</v>
      </c>
      <c r="B836" t="s">
        <v>116</v>
      </c>
      <c r="C836" t="s">
        <v>32</v>
      </c>
      <c r="D836">
        <v>73</v>
      </c>
      <c r="E836">
        <v>87</v>
      </c>
      <c r="F836">
        <v>14</v>
      </c>
      <c r="G836">
        <v>19.2</v>
      </c>
    </row>
    <row r="837" spans="1:7" x14ac:dyDescent="0.35">
      <c r="A837" t="s">
        <v>66</v>
      </c>
      <c r="B837" t="s">
        <v>116</v>
      </c>
      <c r="C837" t="s">
        <v>32</v>
      </c>
      <c r="D837">
        <v>74</v>
      </c>
      <c r="E837">
        <v>84</v>
      </c>
      <c r="F837">
        <v>10</v>
      </c>
      <c r="G837">
        <v>13.5</v>
      </c>
    </row>
    <row r="838" spans="1:7" x14ac:dyDescent="0.35">
      <c r="A838" t="s">
        <v>67</v>
      </c>
      <c r="B838" t="s">
        <v>116</v>
      </c>
      <c r="C838" t="s">
        <v>32</v>
      </c>
      <c r="D838">
        <v>79</v>
      </c>
      <c r="E838">
        <v>83</v>
      </c>
      <c r="F838">
        <v>4</v>
      </c>
      <c r="G838">
        <v>5.0999999999999996</v>
      </c>
    </row>
    <row r="839" spans="1:7" x14ac:dyDescent="0.35">
      <c r="A839" t="s">
        <v>68</v>
      </c>
      <c r="B839" t="s">
        <v>116</v>
      </c>
      <c r="C839" t="s">
        <v>32</v>
      </c>
      <c r="D839">
        <v>70</v>
      </c>
      <c r="E839">
        <v>77</v>
      </c>
      <c r="F839">
        <v>7</v>
      </c>
      <c r="G839">
        <v>10</v>
      </c>
    </row>
    <row r="840" spans="1:7" x14ac:dyDescent="0.35">
      <c r="A840" t="s">
        <v>69</v>
      </c>
      <c r="B840" t="s">
        <v>116</v>
      </c>
      <c r="C840" t="s">
        <v>32</v>
      </c>
      <c r="D840">
        <v>88</v>
      </c>
      <c r="E840">
        <v>92</v>
      </c>
      <c r="F840">
        <v>4</v>
      </c>
      <c r="G840">
        <v>4.5</v>
      </c>
    </row>
    <row r="841" spans="1:7" x14ac:dyDescent="0.35">
      <c r="A841" t="s">
        <v>70</v>
      </c>
      <c r="B841" t="s">
        <v>116</v>
      </c>
      <c r="C841" t="s">
        <v>32</v>
      </c>
      <c r="D841">
        <v>87</v>
      </c>
      <c r="E841">
        <v>86</v>
      </c>
      <c r="F841">
        <v>-1</v>
      </c>
      <c r="G841">
        <v>-1.1000000000000001</v>
      </c>
    </row>
    <row r="842" spans="1:7" x14ac:dyDescent="0.35">
      <c r="A842" t="s">
        <v>71</v>
      </c>
      <c r="B842" t="s">
        <v>116</v>
      </c>
      <c r="C842" t="s">
        <v>32</v>
      </c>
      <c r="D842">
        <v>89</v>
      </c>
      <c r="E842">
        <v>89</v>
      </c>
      <c r="F842">
        <v>0</v>
      </c>
      <c r="G842">
        <v>0</v>
      </c>
    </row>
    <row r="843" spans="1:7" x14ac:dyDescent="0.35">
      <c r="A843" t="s">
        <v>72</v>
      </c>
      <c r="B843" t="s">
        <v>116</v>
      </c>
      <c r="C843" t="s">
        <v>32</v>
      </c>
      <c r="D843">
        <v>82</v>
      </c>
      <c r="E843">
        <v>93</v>
      </c>
      <c r="F843">
        <v>11</v>
      </c>
      <c r="G843">
        <v>13.4</v>
      </c>
    </row>
    <row r="844" spans="1:7" x14ac:dyDescent="0.35">
      <c r="A844" t="s">
        <v>73</v>
      </c>
      <c r="B844" t="s">
        <v>116</v>
      </c>
      <c r="C844" t="s">
        <v>32</v>
      </c>
      <c r="D844">
        <v>92</v>
      </c>
      <c r="E844">
        <v>106</v>
      </c>
      <c r="F844">
        <v>14</v>
      </c>
      <c r="G844">
        <v>15.2</v>
      </c>
    </row>
    <row r="845" spans="1:7" x14ac:dyDescent="0.35">
      <c r="A845" t="s">
        <v>74</v>
      </c>
      <c r="B845" t="s">
        <v>116</v>
      </c>
      <c r="C845" t="s">
        <v>32</v>
      </c>
      <c r="D845">
        <v>86</v>
      </c>
      <c r="E845">
        <v>101</v>
      </c>
      <c r="F845">
        <v>15</v>
      </c>
      <c r="G845">
        <v>17.399999999999999</v>
      </c>
    </row>
    <row r="846" spans="1:7" x14ac:dyDescent="0.35">
      <c r="A846" t="s">
        <v>75</v>
      </c>
      <c r="B846" t="s">
        <v>116</v>
      </c>
      <c r="C846" t="s">
        <v>32</v>
      </c>
      <c r="D846">
        <v>86</v>
      </c>
      <c r="E846">
        <v>117</v>
      </c>
      <c r="F846">
        <v>31</v>
      </c>
      <c r="G846">
        <v>36</v>
      </c>
    </row>
    <row r="847" spans="1:7" x14ac:dyDescent="0.35">
      <c r="A847" t="s">
        <v>76</v>
      </c>
      <c r="B847" t="s">
        <v>116</v>
      </c>
      <c r="C847" t="s">
        <v>32</v>
      </c>
      <c r="D847">
        <v>90</v>
      </c>
      <c r="E847">
        <v>74</v>
      </c>
      <c r="F847">
        <v>-16</v>
      </c>
      <c r="G847">
        <v>-17.8</v>
      </c>
    </row>
    <row r="848" spans="1:7" x14ac:dyDescent="0.35">
      <c r="A848" t="s">
        <v>77</v>
      </c>
      <c r="B848" t="s">
        <v>116</v>
      </c>
      <c r="C848" t="s">
        <v>32</v>
      </c>
      <c r="D848">
        <v>96</v>
      </c>
      <c r="E848">
        <v>83</v>
      </c>
      <c r="F848">
        <v>-13</v>
      </c>
      <c r="G848">
        <v>-13.5</v>
      </c>
    </row>
    <row r="849" spans="1:7" x14ac:dyDescent="0.35">
      <c r="A849" t="s">
        <v>78</v>
      </c>
      <c r="B849" t="s">
        <v>116</v>
      </c>
      <c r="C849" t="s">
        <v>32</v>
      </c>
      <c r="D849">
        <v>107</v>
      </c>
      <c r="E849">
        <v>98</v>
      </c>
      <c r="F849">
        <v>-9</v>
      </c>
      <c r="G849">
        <v>-8.4</v>
      </c>
    </row>
    <row r="850" spans="1:7" x14ac:dyDescent="0.35">
      <c r="A850" t="s">
        <v>79</v>
      </c>
      <c r="B850" t="s">
        <v>116</v>
      </c>
      <c r="C850" t="s">
        <v>32</v>
      </c>
      <c r="D850">
        <v>111</v>
      </c>
      <c r="E850">
        <v>127</v>
      </c>
      <c r="F850">
        <v>16</v>
      </c>
      <c r="G850">
        <v>14.4</v>
      </c>
    </row>
    <row r="851" spans="1:7" x14ac:dyDescent="0.35">
      <c r="A851" t="s">
        <v>80</v>
      </c>
      <c r="B851" t="s">
        <v>116</v>
      </c>
      <c r="C851" t="s">
        <v>32</v>
      </c>
      <c r="D851">
        <v>116</v>
      </c>
      <c r="E851">
        <v>120</v>
      </c>
      <c r="F851">
        <v>4</v>
      </c>
      <c r="G851">
        <v>3.4</v>
      </c>
    </row>
    <row r="852" spans="1:7" x14ac:dyDescent="0.35">
      <c r="A852" t="s">
        <v>81</v>
      </c>
      <c r="B852" t="s">
        <v>116</v>
      </c>
      <c r="C852" t="s">
        <v>32</v>
      </c>
      <c r="D852">
        <v>100</v>
      </c>
      <c r="E852">
        <v>90</v>
      </c>
      <c r="F852">
        <v>-10</v>
      </c>
      <c r="G852">
        <v>-10</v>
      </c>
    </row>
    <row r="853" spans="1:7" x14ac:dyDescent="0.35">
      <c r="A853" t="s">
        <v>82</v>
      </c>
      <c r="B853" t="s">
        <v>116</v>
      </c>
      <c r="C853" t="s">
        <v>32</v>
      </c>
      <c r="D853">
        <v>106</v>
      </c>
      <c r="E853">
        <v>103</v>
      </c>
      <c r="F853">
        <v>-3</v>
      </c>
      <c r="G853">
        <v>-2.8</v>
      </c>
    </row>
    <row r="854" spans="1:7" x14ac:dyDescent="0.35">
      <c r="A854" t="s">
        <v>83</v>
      </c>
      <c r="B854" t="s">
        <v>116</v>
      </c>
      <c r="C854" t="s">
        <v>32</v>
      </c>
      <c r="D854">
        <v>119</v>
      </c>
      <c r="E854">
        <v>116</v>
      </c>
      <c r="F854">
        <v>-3</v>
      </c>
      <c r="G854">
        <v>-2.5</v>
      </c>
    </row>
    <row r="855" spans="1:7" x14ac:dyDescent="0.35">
      <c r="A855" t="s">
        <v>84</v>
      </c>
      <c r="B855" t="s">
        <v>116</v>
      </c>
      <c r="C855" t="s">
        <v>32</v>
      </c>
      <c r="D855">
        <v>113</v>
      </c>
      <c r="E855">
        <v>98</v>
      </c>
      <c r="F855">
        <v>-15</v>
      </c>
      <c r="G855">
        <v>-13.3</v>
      </c>
    </row>
    <row r="856" spans="1:7" x14ac:dyDescent="0.35">
      <c r="A856" t="s">
        <v>85</v>
      </c>
      <c r="B856" t="s">
        <v>116</v>
      </c>
      <c r="C856" t="s">
        <v>32</v>
      </c>
      <c r="D856">
        <v>130</v>
      </c>
      <c r="E856">
        <v>110</v>
      </c>
      <c r="F856">
        <v>-20</v>
      </c>
      <c r="G856">
        <v>-15.4</v>
      </c>
    </row>
    <row r="857" spans="1:7" x14ac:dyDescent="0.35">
      <c r="A857" t="s">
        <v>86</v>
      </c>
      <c r="B857" t="s">
        <v>116</v>
      </c>
      <c r="C857" t="s">
        <v>32</v>
      </c>
      <c r="D857">
        <v>119</v>
      </c>
      <c r="E857">
        <v>139</v>
      </c>
      <c r="F857">
        <v>20</v>
      </c>
      <c r="G857">
        <v>16.8</v>
      </c>
    </row>
    <row r="858" spans="1:7" x14ac:dyDescent="0.35">
      <c r="A858" t="s">
        <v>87</v>
      </c>
      <c r="B858" t="s">
        <v>116</v>
      </c>
      <c r="C858" t="s">
        <v>32</v>
      </c>
      <c r="D858">
        <v>130</v>
      </c>
      <c r="E858">
        <v>134</v>
      </c>
      <c r="F858">
        <v>4</v>
      </c>
      <c r="G858">
        <v>3.1</v>
      </c>
    </row>
    <row r="859" spans="1:7" x14ac:dyDescent="0.35">
      <c r="A859" t="s">
        <v>88</v>
      </c>
      <c r="B859" t="s">
        <v>116</v>
      </c>
      <c r="C859" t="s">
        <v>32</v>
      </c>
      <c r="D859">
        <v>132</v>
      </c>
      <c r="E859">
        <v>134</v>
      </c>
      <c r="F859">
        <v>2</v>
      </c>
      <c r="G859">
        <v>1.5</v>
      </c>
    </row>
    <row r="860" spans="1:7" x14ac:dyDescent="0.35">
      <c r="A860" t="s">
        <v>89</v>
      </c>
      <c r="B860" t="s">
        <v>116</v>
      </c>
      <c r="C860" t="s">
        <v>32</v>
      </c>
      <c r="D860">
        <v>122</v>
      </c>
      <c r="E860">
        <v>113</v>
      </c>
      <c r="F860">
        <v>-9</v>
      </c>
      <c r="G860">
        <v>-7.4</v>
      </c>
    </row>
    <row r="861" spans="1:7" x14ac:dyDescent="0.35">
      <c r="A861" t="s">
        <v>90</v>
      </c>
      <c r="B861" t="s">
        <v>116</v>
      </c>
      <c r="C861" t="s">
        <v>32</v>
      </c>
      <c r="D861">
        <v>134</v>
      </c>
      <c r="E861">
        <v>114</v>
      </c>
      <c r="F861">
        <v>-20</v>
      </c>
      <c r="G861">
        <v>-14.9</v>
      </c>
    </row>
    <row r="862" spans="1:7" x14ac:dyDescent="0.35">
      <c r="A862" t="s">
        <v>91</v>
      </c>
      <c r="B862" t="s">
        <v>116</v>
      </c>
      <c r="C862" t="s">
        <v>32</v>
      </c>
      <c r="D862">
        <v>148</v>
      </c>
      <c r="E862">
        <v>121</v>
      </c>
      <c r="F862">
        <v>-27</v>
      </c>
      <c r="G862">
        <v>-18.2</v>
      </c>
    </row>
    <row r="863" spans="1:7" x14ac:dyDescent="0.35">
      <c r="A863" t="s">
        <v>92</v>
      </c>
      <c r="B863" t="s">
        <v>116</v>
      </c>
      <c r="C863" t="s">
        <v>32</v>
      </c>
      <c r="D863">
        <v>131</v>
      </c>
      <c r="E863">
        <v>117</v>
      </c>
      <c r="F863">
        <v>-14</v>
      </c>
      <c r="G863">
        <v>-10.7</v>
      </c>
    </row>
    <row r="864" spans="1:7" x14ac:dyDescent="0.35">
      <c r="A864" t="s">
        <v>93</v>
      </c>
      <c r="B864" t="s">
        <v>116</v>
      </c>
      <c r="C864" t="s">
        <v>32</v>
      </c>
      <c r="D864">
        <v>145</v>
      </c>
      <c r="E864">
        <v>127</v>
      </c>
      <c r="F864">
        <v>-18</v>
      </c>
      <c r="G864">
        <v>-12.4</v>
      </c>
    </row>
    <row r="865" spans="1:7" x14ac:dyDescent="0.35">
      <c r="A865" t="s">
        <v>94</v>
      </c>
      <c r="B865" t="s">
        <v>116</v>
      </c>
      <c r="C865" t="s">
        <v>32</v>
      </c>
      <c r="D865">
        <v>138</v>
      </c>
      <c r="E865">
        <v>173</v>
      </c>
      <c r="F865">
        <v>35</v>
      </c>
      <c r="G865">
        <v>25.4</v>
      </c>
    </row>
    <row r="866" spans="1:7" x14ac:dyDescent="0.35">
      <c r="A866" t="s">
        <v>95</v>
      </c>
      <c r="B866" t="s">
        <v>116</v>
      </c>
      <c r="C866" t="s">
        <v>32</v>
      </c>
      <c r="D866">
        <v>153</v>
      </c>
      <c r="E866">
        <v>128</v>
      </c>
      <c r="F866">
        <v>-25</v>
      </c>
      <c r="G866">
        <v>-16.3</v>
      </c>
    </row>
    <row r="867" spans="1:7" x14ac:dyDescent="0.35">
      <c r="A867" t="s">
        <v>96</v>
      </c>
      <c r="B867" t="s">
        <v>116</v>
      </c>
      <c r="C867" t="s">
        <v>32</v>
      </c>
      <c r="D867">
        <v>136</v>
      </c>
      <c r="E867">
        <v>160</v>
      </c>
      <c r="F867">
        <v>24</v>
      </c>
      <c r="G867">
        <v>17.600000000000001</v>
      </c>
    </row>
    <row r="868" spans="1:7" x14ac:dyDescent="0.35">
      <c r="A868" t="s">
        <v>97</v>
      </c>
      <c r="B868" t="s">
        <v>116</v>
      </c>
      <c r="C868" t="s">
        <v>32</v>
      </c>
      <c r="D868">
        <v>146</v>
      </c>
      <c r="E868">
        <v>186</v>
      </c>
      <c r="F868">
        <v>40</v>
      </c>
      <c r="G868">
        <v>27.4</v>
      </c>
    </row>
    <row r="869" spans="1:7" x14ac:dyDescent="0.35">
      <c r="A869" t="s">
        <v>98</v>
      </c>
      <c r="B869" t="s">
        <v>116</v>
      </c>
      <c r="C869" t="s">
        <v>32</v>
      </c>
      <c r="D869">
        <v>162</v>
      </c>
      <c r="E869">
        <v>187</v>
      </c>
      <c r="F869">
        <v>25</v>
      </c>
      <c r="G869">
        <v>15.4</v>
      </c>
    </row>
    <row r="870" spans="1:7" x14ac:dyDescent="0.35">
      <c r="A870" t="s">
        <v>99</v>
      </c>
      <c r="B870" t="s">
        <v>116</v>
      </c>
      <c r="C870" t="s">
        <v>32</v>
      </c>
      <c r="D870">
        <v>164</v>
      </c>
      <c r="E870">
        <v>138</v>
      </c>
      <c r="F870">
        <v>-26</v>
      </c>
      <c r="G870">
        <v>-15.9</v>
      </c>
    </row>
    <row r="871" spans="1:7" x14ac:dyDescent="0.35">
      <c r="A871" t="s">
        <v>100</v>
      </c>
      <c r="B871" t="s">
        <v>116</v>
      </c>
      <c r="C871" t="s">
        <v>32</v>
      </c>
      <c r="D871">
        <v>150</v>
      </c>
      <c r="E871">
        <v>174</v>
      </c>
      <c r="F871">
        <v>24</v>
      </c>
      <c r="G871">
        <v>16</v>
      </c>
    </row>
    <row r="872" spans="1:7" x14ac:dyDescent="0.35">
      <c r="A872" t="s">
        <v>101</v>
      </c>
      <c r="B872" t="s">
        <v>116</v>
      </c>
      <c r="C872" t="s">
        <v>32</v>
      </c>
      <c r="D872">
        <v>155</v>
      </c>
      <c r="E872">
        <v>155</v>
      </c>
      <c r="F872">
        <v>0</v>
      </c>
      <c r="G872">
        <v>0</v>
      </c>
    </row>
    <row r="873" spans="1:7" x14ac:dyDescent="0.35">
      <c r="A873" t="s">
        <v>102</v>
      </c>
      <c r="B873" t="s">
        <v>116</v>
      </c>
      <c r="C873" t="s">
        <v>32</v>
      </c>
      <c r="D873">
        <v>154</v>
      </c>
      <c r="E873">
        <v>160</v>
      </c>
      <c r="F873">
        <v>6</v>
      </c>
      <c r="G873">
        <v>3.9</v>
      </c>
    </row>
    <row r="874" spans="1:7" x14ac:dyDescent="0.35">
      <c r="A874" t="s">
        <v>103</v>
      </c>
      <c r="B874" t="s">
        <v>116</v>
      </c>
      <c r="C874" t="s">
        <v>32</v>
      </c>
      <c r="D874">
        <v>155</v>
      </c>
      <c r="E874">
        <v>168</v>
      </c>
      <c r="F874">
        <v>13</v>
      </c>
      <c r="G874">
        <v>8.4</v>
      </c>
    </row>
    <row r="875" spans="1:7" x14ac:dyDescent="0.35">
      <c r="A875" t="s">
        <v>104</v>
      </c>
      <c r="B875" t="s">
        <v>116</v>
      </c>
      <c r="C875" t="s">
        <v>32</v>
      </c>
      <c r="D875">
        <v>179</v>
      </c>
      <c r="E875">
        <v>181</v>
      </c>
      <c r="F875">
        <v>2</v>
      </c>
      <c r="G875">
        <v>1.1000000000000001</v>
      </c>
    </row>
    <row r="876" spans="1:7" x14ac:dyDescent="0.35">
      <c r="A876" t="s">
        <v>105</v>
      </c>
      <c r="B876" t="s">
        <v>116</v>
      </c>
      <c r="C876" t="s">
        <v>32</v>
      </c>
      <c r="D876">
        <v>153</v>
      </c>
      <c r="E876">
        <v>174</v>
      </c>
      <c r="F876">
        <v>21</v>
      </c>
      <c r="G876">
        <v>13.7</v>
      </c>
    </row>
    <row r="877" spans="1:7" x14ac:dyDescent="0.35">
      <c r="A877" t="s">
        <v>106</v>
      </c>
      <c r="B877" t="s">
        <v>116</v>
      </c>
      <c r="C877" t="s">
        <v>32</v>
      </c>
      <c r="D877">
        <v>167</v>
      </c>
      <c r="E877">
        <v>143</v>
      </c>
      <c r="F877">
        <v>-24</v>
      </c>
      <c r="G877">
        <v>-14.4</v>
      </c>
    </row>
    <row r="878" spans="1:7" x14ac:dyDescent="0.35">
      <c r="A878" t="s">
        <v>107</v>
      </c>
      <c r="B878" t="s">
        <v>116</v>
      </c>
      <c r="C878" t="s">
        <v>32</v>
      </c>
      <c r="D878">
        <v>170</v>
      </c>
      <c r="E878">
        <v>167</v>
      </c>
      <c r="F878">
        <v>-3</v>
      </c>
      <c r="G878">
        <v>-1.8</v>
      </c>
    </row>
    <row r="879" spans="1:7" x14ac:dyDescent="0.35">
      <c r="A879" t="s">
        <v>108</v>
      </c>
      <c r="B879" t="s">
        <v>116</v>
      </c>
      <c r="C879" t="s">
        <v>32</v>
      </c>
      <c r="D879">
        <v>169</v>
      </c>
      <c r="E879">
        <v>128</v>
      </c>
      <c r="F879">
        <v>-41</v>
      </c>
      <c r="G879">
        <v>-24.3</v>
      </c>
    </row>
    <row r="880" spans="1:7" x14ac:dyDescent="0.35">
      <c r="A880" t="s">
        <v>109</v>
      </c>
      <c r="B880" t="s">
        <v>116</v>
      </c>
      <c r="C880" t="s">
        <v>32</v>
      </c>
      <c r="D880">
        <v>162</v>
      </c>
      <c r="E880">
        <v>182</v>
      </c>
      <c r="F880">
        <v>20</v>
      </c>
      <c r="G880">
        <v>12.3</v>
      </c>
    </row>
    <row r="881" spans="1:7" x14ac:dyDescent="0.35">
      <c r="A881" t="s">
        <v>110</v>
      </c>
      <c r="B881" t="s">
        <v>116</v>
      </c>
      <c r="C881" t="s">
        <v>32</v>
      </c>
      <c r="D881">
        <v>151</v>
      </c>
      <c r="E881">
        <v>187</v>
      </c>
      <c r="F881">
        <v>36</v>
      </c>
      <c r="G881">
        <v>23.8</v>
      </c>
    </row>
    <row r="882" spans="1:7" x14ac:dyDescent="0.35">
      <c r="A882" t="s">
        <v>111</v>
      </c>
      <c r="B882" t="s">
        <v>116</v>
      </c>
      <c r="C882" t="s">
        <v>32</v>
      </c>
      <c r="D882">
        <v>148</v>
      </c>
      <c r="E882">
        <v>169</v>
      </c>
      <c r="F882">
        <v>21</v>
      </c>
      <c r="G882">
        <v>14.2</v>
      </c>
    </row>
    <row r="883" spans="1:7" x14ac:dyDescent="0.35">
      <c r="A883" t="s">
        <v>112</v>
      </c>
      <c r="B883" t="s">
        <v>116</v>
      </c>
      <c r="C883" t="s">
        <v>32</v>
      </c>
      <c r="D883">
        <v>179</v>
      </c>
      <c r="E883">
        <v>157</v>
      </c>
      <c r="F883">
        <v>-22</v>
      </c>
      <c r="G883">
        <v>-12.3</v>
      </c>
    </row>
    <row r="884" spans="1:7" x14ac:dyDescent="0.35">
      <c r="A884" t="s">
        <v>113</v>
      </c>
      <c r="B884" t="s">
        <v>116</v>
      </c>
      <c r="C884" t="s">
        <v>32</v>
      </c>
      <c r="D884">
        <v>179</v>
      </c>
      <c r="E884">
        <v>196</v>
      </c>
      <c r="F884">
        <v>17</v>
      </c>
      <c r="G884">
        <v>9.5</v>
      </c>
    </row>
    <row r="885" spans="1:7" x14ac:dyDescent="0.35">
      <c r="A885" t="s">
        <v>114</v>
      </c>
      <c r="B885" t="s">
        <v>116</v>
      </c>
      <c r="C885" t="s">
        <v>32</v>
      </c>
      <c r="D885">
        <v>164</v>
      </c>
      <c r="E885">
        <v>140</v>
      </c>
      <c r="F885">
        <v>-24</v>
      </c>
      <c r="G885">
        <v>-14.6</v>
      </c>
    </row>
    <row r="886" spans="1:7" x14ac:dyDescent="0.35">
      <c r="A886" t="s">
        <v>62</v>
      </c>
      <c r="B886" t="s">
        <v>116</v>
      </c>
      <c r="C886" t="s">
        <v>37</v>
      </c>
      <c r="D886">
        <v>43</v>
      </c>
      <c r="E886">
        <v>48</v>
      </c>
      <c r="F886">
        <v>5</v>
      </c>
      <c r="G886">
        <v>11.6</v>
      </c>
    </row>
    <row r="887" spans="1:7" x14ac:dyDescent="0.35">
      <c r="A887" t="s">
        <v>64</v>
      </c>
      <c r="B887" t="s">
        <v>116</v>
      </c>
      <c r="C887" t="s">
        <v>37</v>
      </c>
      <c r="D887">
        <v>50</v>
      </c>
      <c r="E887">
        <v>37</v>
      </c>
      <c r="F887">
        <v>-13</v>
      </c>
      <c r="G887">
        <v>-26</v>
      </c>
    </row>
    <row r="888" spans="1:7" x14ac:dyDescent="0.35">
      <c r="A888" t="s">
        <v>65</v>
      </c>
      <c r="B888" t="s">
        <v>116</v>
      </c>
      <c r="C888" t="s">
        <v>37</v>
      </c>
      <c r="D888">
        <v>49</v>
      </c>
      <c r="E888">
        <v>49</v>
      </c>
      <c r="F888">
        <v>0</v>
      </c>
      <c r="G888">
        <v>0</v>
      </c>
    </row>
    <row r="889" spans="1:7" x14ac:dyDescent="0.35">
      <c r="A889" t="s">
        <v>66</v>
      </c>
      <c r="B889" t="s">
        <v>116</v>
      </c>
      <c r="C889" t="s">
        <v>37</v>
      </c>
      <c r="D889">
        <v>52</v>
      </c>
      <c r="E889">
        <v>61</v>
      </c>
      <c r="F889">
        <v>9</v>
      </c>
      <c r="G889">
        <v>17.3</v>
      </c>
    </row>
    <row r="890" spans="1:7" x14ac:dyDescent="0.35">
      <c r="A890" t="s">
        <v>67</v>
      </c>
      <c r="B890" t="s">
        <v>116</v>
      </c>
      <c r="C890" t="s">
        <v>37</v>
      </c>
      <c r="D890">
        <v>56</v>
      </c>
      <c r="E890">
        <v>43</v>
      </c>
      <c r="F890">
        <v>-13</v>
      </c>
      <c r="G890">
        <v>-23.2</v>
      </c>
    </row>
    <row r="891" spans="1:7" x14ac:dyDescent="0.35">
      <c r="A891" t="s">
        <v>68</v>
      </c>
      <c r="B891" t="s">
        <v>116</v>
      </c>
      <c r="C891" t="s">
        <v>37</v>
      </c>
      <c r="D891">
        <v>57</v>
      </c>
      <c r="E891">
        <v>44</v>
      </c>
      <c r="F891">
        <v>-13</v>
      </c>
      <c r="G891">
        <v>-22.8</v>
      </c>
    </row>
    <row r="892" spans="1:7" x14ac:dyDescent="0.35">
      <c r="A892" t="s">
        <v>69</v>
      </c>
      <c r="B892" t="s">
        <v>116</v>
      </c>
      <c r="C892" t="s">
        <v>37</v>
      </c>
      <c r="D892">
        <v>60</v>
      </c>
      <c r="E892">
        <v>69</v>
      </c>
      <c r="F892">
        <v>9</v>
      </c>
      <c r="G892">
        <v>15</v>
      </c>
    </row>
    <row r="893" spans="1:7" x14ac:dyDescent="0.35">
      <c r="A893" t="s">
        <v>70</v>
      </c>
      <c r="B893" t="s">
        <v>116</v>
      </c>
      <c r="C893" t="s">
        <v>37</v>
      </c>
      <c r="D893">
        <v>55</v>
      </c>
      <c r="E893">
        <v>56</v>
      </c>
      <c r="F893">
        <v>1</v>
      </c>
      <c r="G893">
        <v>1.8</v>
      </c>
    </row>
    <row r="894" spans="1:7" x14ac:dyDescent="0.35">
      <c r="A894" t="s">
        <v>71</v>
      </c>
      <c r="B894" t="s">
        <v>116</v>
      </c>
      <c r="C894" t="s">
        <v>37</v>
      </c>
      <c r="D894">
        <v>63</v>
      </c>
      <c r="E894">
        <v>72</v>
      </c>
      <c r="F894">
        <v>9</v>
      </c>
      <c r="G894">
        <v>14.3</v>
      </c>
    </row>
    <row r="895" spans="1:7" x14ac:dyDescent="0.35">
      <c r="A895" t="s">
        <v>72</v>
      </c>
      <c r="B895" t="s">
        <v>116</v>
      </c>
      <c r="C895" t="s">
        <v>37</v>
      </c>
      <c r="D895">
        <v>65</v>
      </c>
      <c r="E895">
        <v>71</v>
      </c>
      <c r="F895">
        <v>6</v>
      </c>
      <c r="G895">
        <v>9.1999999999999993</v>
      </c>
    </row>
    <row r="896" spans="1:7" x14ac:dyDescent="0.35">
      <c r="A896" t="s">
        <v>73</v>
      </c>
      <c r="B896" t="s">
        <v>116</v>
      </c>
      <c r="C896" t="s">
        <v>37</v>
      </c>
      <c r="D896">
        <v>56</v>
      </c>
      <c r="E896">
        <v>64</v>
      </c>
      <c r="F896">
        <v>8</v>
      </c>
      <c r="G896">
        <v>14.3</v>
      </c>
    </row>
    <row r="897" spans="1:7" x14ac:dyDescent="0.35">
      <c r="A897" t="s">
        <v>74</v>
      </c>
      <c r="B897" t="s">
        <v>116</v>
      </c>
      <c r="C897" t="s">
        <v>37</v>
      </c>
      <c r="D897">
        <v>58</v>
      </c>
      <c r="E897">
        <v>79</v>
      </c>
      <c r="F897">
        <v>21</v>
      </c>
      <c r="G897">
        <v>36.200000000000003</v>
      </c>
    </row>
    <row r="898" spans="1:7" x14ac:dyDescent="0.35">
      <c r="A898" t="s">
        <v>75</v>
      </c>
      <c r="B898" t="s">
        <v>116</v>
      </c>
      <c r="C898" t="s">
        <v>37</v>
      </c>
      <c r="D898">
        <v>62</v>
      </c>
      <c r="E898">
        <v>81</v>
      </c>
      <c r="F898">
        <v>19</v>
      </c>
      <c r="G898">
        <v>30.6</v>
      </c>
    </row>
    <row r="899" spans="1:7" x14ac:dyDescent="0.35">
      <c r="A899" t="s">
        <v>76</v>
      </c>
      <c r="B899" t="s">
        <v>116</v>
      </c>
      <c r="C899" t="s">
        <v>37</v>
      </c>
      <c r="D899">
        <v>67</v>
      </c>
      <c r="E899">
        <v>67</v>
      </c>
      <c r="F899">
        <v>0</v>
      </c>
      <c r="G899">
        <v>0</v>
      </c>
    </row>
    <row r="900" spans="1:7" x14ac:dyDescent="0.35">
      <c r="A900" t="s">
        <v>77</v>
      </c>
      <c r="B900" t="s">
        <v>116</v>
      </c>
      <c r="C900" t="s">
        <v>37</v>
      </c>
      <c r="D900">
        <v>74</v>
      </c>
      <c r="E900">
        <v>81</v>
      </c>
      <c r="F900">
        <v>7</v>
      </c>
      <c r="G900">
        <v>9.5</v>
      </c>
    </row>
    <row r="901" spans="1:7" x14ac:dyDescent="0.35">
      <c r="A901" t="s">
        <v>78</v>
      </c>
      <c r="B901" t="s">
        <v>116</v>
      </c>
      <c r="C901" t="s">
        <v>37</v>
      </c>
      <c r="D901">
        <v>70</v>
      </c>
      <c r="E901">
        <v>59</v>
      </c>
      <c r="F901">
        <v>-11</v>
      </c>
      <c r="G901">
        <v>-15.7</v>
      </c>
    </row>
    <row r="902" spans="1:7" x14ac:dyDescent="0.35">
      <c r="A902" t="s">
        <v>79</v>
      </c>
      <c r="B902" t="s">
        <v>116</v>
      </c>
      <c r="C902" t="s">
        <v>37</v>
      </c>
      <c r="D902">
        <v>66</v>
      </c>
      <c r="E902">
        <v>60</v>
      </c>
      <c r="F902">
        <v>-6</v>
      </c>
      <c r="G902">
        <v>-9.1</v>
      </c>
    </row>
    <row r="903" spans="1:7" x14ac:dyDescent="0.35">
      <c r="A903" t="s">
        <v>80</v>
      </c>
      <c r="B903" t="s">
        <v>116</v>
      </c>
      <c r="C903" t="s">
        <v>37</v>
      </c>
      <c r="D903">
        <v>73</v>
      </c>
      <c r="E903">
        <v>65</v>
      </c>
      <c r="F903">
        <v>-8</v>
      </c>
      <c r="G903">
        <v>-11</v>
      </c>
    </row>
    <row r="904" spans="1:7" x14ac:dyDescent="0.35">
      <c r="A904" t="s">
        <v>81</v>
      </c>
      <c r="B904" t="s">
        <v>116</v>
      </c>
      <c r="C904" t="s">
        <v>37</v>
      </c>
      <c r="D904">
        <v>70</v>
      </c>
      <c r="E904">
        <v>84</v>
      </c>
      <c r="F904">
        <v>14</v>
      </c>
      <c r="G904">
        <v>20</v>
      </c>
    </row>
    <row r="905" spans="1:7" x14ac:dyDescent="0.35">
      <c r="A905" t="s">
        <v>82</v>
      </c>
      <c r="B905" t="s">
        <v>116</v>
      </c>
      <c r="C905" t="s">
        <v>37</v>
      </c>
      <c r="D905">
        <v>81</v>
      </c>
      <c r="E905">
        <v>80</v>
      </c>
      <c r="F905">
        <v>-1</v>
      </c>
      <c r="G905">
        <v>-1.2</v>
      </c>
    </row>
    <row r="906" spans="1:7" x14ac:dyDescent="0.35">
      <c r="A906" t="s">
        <v>83</v>
      </c>
      <c r="B906" t="s">
        <v>116</v>
      </c>
      <c r="C906" t="s">
        <v>37</v>
      </c>
      <c r="D906">
        <v>83</v>
      </c>
      <c r="E906">
        <v>66</v>
      </c>
      <c r="F906">
        <v>-17</v>
      </c>
      <c r="G906">
        <v>-20.5</v>
      </c>
    </row>
    <row r="907" spans="1:7" x14ac:dyDescent="0.35">
      <c r="A907" t="s">
        <v>84</v>
      </c>
      <c r="B907" t="s">
        <v>116</v>
      </c>
      <c r="C907" t="s">
        <v>37</v>
      </c>
      <c r="D907">
        <v>86</v>
      </c>
      <c r="E907">
        <v>96</v>
      </c>
      <c r="F907">
        <v>10</v>
      </c>
      <c r="G907">
        <v>11.6</v>
      </c>
    </row>
    <row r="908" spans="1:7" x14ac:dyDescent="0.35">
      <c r="A908" t="s">
        <v>85</v>
      </c>
      <c r="B908" t="s">
        <v>116</v>
      </c>
      <c r="C908" t="s">
        <v>37</v>
      </c>
      <c r="D908">
        <v>87</v>
      </c>
      <c r="E908">
        <v>83</v>
      </c>
      <c r="F908">
        <v>-4</v>
      </c>
      <c r="G908">
        <v>-4.5999999999999996</v>
      </c>
    </row>
    <row r="909" spans="1:7" x14ac:dyDescent="0.35">
      <c r="A909" t="s">
        <v>86</v>
      </c>
      <c r="B909" t="s">
        <v>116</v>
      </c>
      <c r="C909" t="s">
        <v>37</v>
      </c>
      <c r="D909">
        <v>77</v>
      </c>
      <c r="E909">
        <v>91</v>
      </c>
      <c r="F909">
        <v>14</v>
      </c>
      <c r="G909">
        <v>18.2</v>
      </c>
    </row>
    <row r="910" spans="1:7" x14ac:dyDescent="0.35">
      <c r="A910" t="s">
        <v>87</v>
      </c>
      <c r="B910" t="s">
        <v>116</v>
      </c>
      <c r="C910" t="s">
        <v>37</v>
      </c>
      <c r="D910">
        <v>80</v>
      </c>
      <c r="E910">
        <v>70</v>
      </c>
      <c r="F910">
        <v>-10</v>
      </c>
      <c r="G910">
        <v>-12.5</v>
      </c>
    </row>
    <row r="911" spans="1:7" x14ac:dyDescent="0.35">
      <c r="A911" t="s">
        <v>88</v>
      </c>
      <c r="B911" t="s">
        <v>116</v>
      </c>
      <c r="C911" t="s">
        <v>37</v>
      </c>
      <c r="D911">
        <v>84</v>
      </c>
      <c r="E911">
        <v>76</v>
      </c>
      <c r="F911">
        <v>-8</v>
      </c>
      <c r="G911">
        <v>-9.5</v>
      </c>
    </row>
    <row r="912" spans="1:7" x14ac:dyDescent="0.35">
      <c r="A912" t="s">
        <v>89</v>
      </c>
      <c r="B912" t="s">
        <v>116</v>
      </c>
      <c r="C912" t="s">
        <v>37</v>
      </c>
      <c r="D912">
        <v>84</v>
      </c>
      <c r="E912">
        <v>77</v>
      </c>
      <c r="F912">
        <v>-7</v>
      </c>
      <c r="G912">
        <v>-8.3000000000000007</v>
      </c>
    </row>
    <row r="913" spans="1:7" x14ac:dyDescent="0.35">
      <c r="A913" t="s">
        <v>90</v>
      </c>
      <c r="B913" t="s">
        <v>116</v>
      </c>
      <c r="C913" t="s">
        <v>37</v>
      </c>
      <c r="D913">
        <v>95</v>
      </c>
      <c r="E913">
        <v>111</v>
      </c>
      <c r="F913">
        <v>16</v>
      </c>
      <c r="G913">
        <v>16.8</v>
      </c>
    </row>
    <row r="914" spans="1:7" x14ac:dyDescent="0.35">
      <c r="A914" t="s">
        <v>91</v>
      </c>
      <c r="B914" t="s">
        <v>116</v>
      </c>
      <c r="C914" t="s">
        <v>37</v>
      </c>
      <c r="D914">
        <v>88</v>
      </c>
      <c r="E914">
        <v>102</v>
      </c>
      <c r="F914">
        <v>14</v>
      </c>
      <c r="G914">
        <v>15.9</v>
      </c>
    </row>
    <row r="915" spans="1:7" x14ac:dyDescent="0.35">
      <c r="A915" t="s">
        <v>92</v>
      </c>
      <c r="B915" t="s">
        <v>116</v>
      </c>
      <c r="C915" t="s">
        <v>37</v>
      </c>
      <c r="D915">
        <v>85</v>
      </c>
      <c r="E915">
        <v>101</v>
      </c>
      <c r="F915">
        <v>16</v>
      </c>
      <c r="G915">
        <v>18.8</v>
      </c>
    </row>
    <row r="916" spans="1:7" x14ac:dyDescent="0.35">
      <c r="A916" t="s">
        <v>93</v>
      </c>
      <c r="B916" t="s">
        <v>116</v>
      </c>
      <c r="C916" t="s">
        <v>37</v>
      </c>
      <c r="D916">
        <v>99</v>
      </c>
      <c r="E916">
        <v>75</v>
      </c>
      <c r="F916">
        <v>-24</v>
      </c>
      <c r="G916">
        <v>-24.2</v>
      </c>
    </row>
    <row r="917" spans="1:7" x14ac:dyDescent="0.35">
      <c r="A917" t="s">
        <v>94</v>
      </c>
      <c r="B917" t="s">
        <v>116</v>
      </c>
      <c r="C917" t="s">
        <v>37</v>
      </c>
      <c r="D917">
        <v>90</v>
      </c>
      <c r="E917">
        <v>88</v>
      </c>
      <c r="F917">
        <v>-2</v>
      </c>
      <c r="G917">
        <v>-2.2000000000000002</v>
      </c>
    </row>
    <row r="918" spans="1:7" x14ac:dyDescent="0.35">
      <c r="A918" t="s">
        <v>95</v>
      </c>
      <c r="B918" t="s">
        <v>116</v>
      </c>
      <c r="C918" t="s">
        <v>37</v>
      </c>
      <c r="D918">
        <v>97</v>
      </c>
      <c r="E918">
        <v>99</v>
      </c>
      <c r="F918">
        <v>2</v>
      </c>
      <c r="G918">
        <v>2.1</v>
      </c>
    </row>
    <row r="919" spans="1:7" x14ac:dyDescent="0.35">
      <c r="A919" t="s">
        <v>96</v>
      </c>
      <c r="B919" t="s">
        <v>116</v>
      </c>
      <c r="C919" t="s">
        <v>37</v>
      </c>
      <c r="D919">
        <v>109</v>
      </c>
      <c r="E919">
        <v>111</v>
      </c>
      <c r="F919">
        <v>2</v>
      </c>
      <c r="G919">
        <v>1.8</v>
      </c>
    </row>
    <row r="920" spans="1:7" x14ac:dyDescent="0.35">
      <c r="A920" t="s">
        <v>97</v>
      </c>
      <c r="B920" t="s">
        <v>116</v>
      </c>
      <c r="C920" t="s">
        <v>37</v>
      </c>
      <c r="D920">
        <v>98</v>
      </c>
      <c r="E920">
        <v>83</v>
      </c>
      <c r="F920">
        <v>-15</v>
      </c>
      <c r="G920">
        <v>-15.3</v>
      </c>
    </row>
    <row r="921" spans="1:7" x14ac:dyDescent="0.35">
      <c r="A921" t="s">
        <v>98</v>
      </c>
      <c r="B921" t="s">
        <v>116</v>
      </c>
      <c r="C921" t="s">
        <v>37</v>
      </c>
      <c r="D921">
        <v>113</v>
      </c>
      <c r="E921">
        <v>93</v>
      </c>
      <c r="F921">
        <v>-20</v>
      </c>
      <c r="G921">
        <v>-17.7</v>
      </c>
    </row>
    <row r="922" spans="1:7" x14ac:dyDescent="0.35">
      <c r="A922" t="s">
        <v>99</v>
      </c>
      <c r="B922" t="s">
        <v>116</v>
      </c>
      <c r="C922" t="s">
        <v>37</v>
      </c>
      <c r="D922">
        <v>108</v>
      </c>
      <c r="E922">
        <v>91</v>
      </c>
      <c r="F922">
        <v>-17</v>
      </c>
      <c r="G922">
        <v>-15.7</v>
      </c>
    </row>
    <row r="923" spans="1:7" x14ac:dyDescent="0.35">
      <c r="A923" t="s">
        <v>100</v>
      </c>
      <c r="B923" t="s">
        <v>116</v>
      </c>
      <c r="C923" t="s">
        <v>37</v>
      </c>
      <c r="D923">
        <v>100</v>
      </c>
      <c r="E923">
        <v>89</v>
      </c>
      <c r="F923">
        <v>-11</v>
      </c>
      <c r="G923">
        <v>-11</v>
      </c>
    </row>
    <row r="924" spans="1:7" x14ac:dyDescent="0.35">
      <c r="A924" t="s">
        <v>101</v>
      </c>
      <c r="B924" t="s">
        <v>116</v>
      </c>
      <c r="C924" t="s">
        <v>37</v>
      </c>
      <c r="D924">
        <v>115</v>
      </c>
      <c r="E924">
        <v>115</v>
      </c>
      <c r="F924">
        <v>0</v>
      </c>
      <c r="G924">
        <v>0</v>
      </c>
    </row>
    <row r="925" spans="1:7" x14ac:dyDescent="0.35">
      <c r="A925" t="s">
        <v>102</v>
      </c>
      <c r="B925" t="s">
        <v>116</v>
      </c>
      <c r="C925" t="s">
        <v>37</v>
      </c>
      <c r="D925">
        <v>109</v>
      </c>
      <c r="E925">
        <v>114</v>
      </c>
      <c r="F925">
        <v>5</v>
      </c>
      <c r="G925">
        <v>4.5999999999999996</v>
      </c>
    </row>
    <row r="926" spans="1:7" x14ac:dyDescent="0.35">
      <c r="A926" t="s">
        <v>103</v>
      </c>
      <c r="B926" t="s">
        <v>116</v>
      </c>
      <c r="C926" t="s">
        <v>37</v>
      </c>
      <c r="D926">
        <v>112</v>
      </c>
      <c r="E926">
        <v>115</v>
      </c>
      <c r="F926">
        <v>3</v>
      </c>
      <c r="G926">
        <v>2.7</v>
      </c>
    </row>
    <row r="927" spans="1:7" x14ac:dyDescent="0.35">
      <c r="A927" t="s">
        <v>104</v>
      </c>
      <c r="B927" t="s">
        <v>116</v>
      </c>
      <c r="C927" t="s">
        <v>37</v>
      </c>
      <c r="D927">
        <v>116</v>
      </c>
      <c r="E927">
        <v>97</v>
      </c>
      <c r="F927">
        <v>-19</v>
      </c>
      <c r="G927">
        <v>-16.399999999999999</v>
      </c>
    </row>
    <row r="928" spans="1:7" x14ac:dyDescent="0.35">
      <c r="A928" t="s">
        <v>105</v>
      </c>
      <c r="B928" t="s">
        <v>116</v>
      </c>
      <c r="C928" t="s">
        <v>37</v>
      </c>
      <c r="D928">
        <v>107</v>
      </c>
      <c r="E928">
        <v>127</v>
      </c>
      <c r="F928">
        <v>20</v>
      </c>
      <c r="G928">
        <v>18.7</v>
      </c>
    </row>
    <row r="929" spans="1:7" x14ac:dyDescent="0.35">
      <c r="A929" t="s">
        <v>106</v>
      </c>
      <c r="B929" t="s">
        <v>116</v>
      </c>
      <c r="C929" t="s">
        <v>37</v>
      </c>
      <c r="D929">
        <v>121</v>
      </c>
      <c r="E929">
        <v>89</v>
      </c>
      <c r="F929">
        <v>-32</v>
      </c>
      <c r="G929">
        <v>-26.4</v>
      </c>
    </row>
    <row r="930" spans="1:7" x14ac:dyDescent="0.35">
      <c r="A930" t="s">
        <v>107</v>
      </c>
      <c r="B930" t="s">
        <v>116</v>
      </c>
      <c r="C930" t="s">
        <v>37</v>
      </c>
      <c r="D930">
        <v>111</v>
      </c>
      <c r="E930">
        <v>124</v>
      </c>
      <c r="F930">
        <v>13</v>
      </c>
      <c r="G930">
        <v>11.7</v>
      </c>
    </row>
    <row r="931" spans="1:7" x14ac:dyDescent="0.35">
      <c r="A931" t="s">
        <v>108</v>
      </c>
      <c r="B931" t="s">
        <v>116</v>
      </c>
      <c r="C931" t="s">
        <v>37</v>
      </c>
      <c r="D931">
        <v>103</v>
      </c>
      <c r="E931">
        <v>116</v>
      </c>
      <c r="F931">
        <v>13</v>
      </c>
      <c r="G931">
        <v>12.6</v>
      </c>
    </row>
    <row r="932" spans="1:7" x14ac:dyDescent="0.35">
      <c r="A932" t="s">
        <v>109</v>
      </c>
      <c r="B932" t="s">
        <v>116</v>
      </c>
      <c r="C932" t="s">
        <v>37</v>
      </c>
      <c r="D932">
        <v>103</v>
      </c>
      <c r="E932">
        <v>115</v>
      </c>
      <c r="F932">
        <v>12</v>
      </c>
      <c r="G932">
        <v>11.7</v>
      </c>
    </row>
    <row r="933" spans="1:7" x14ac:dyDescent="0.35">
      <c r="A933" t="s">
        <v>110</v>
      </c>
      <c r="B933" t="s">
        <v>116</v>
      </c>
      <c r="C933" t="s">
        <v>37</v>
      </c>
      <c r="D933">
        <v>113</v>
      </c>
      <c r="E933">
        <v>117</v>
      </c>
      <c r="F933">
        <v>4</v>
      </c>
      <c r="G933">
        <v>3.5</v>
      </c>
    </row>
    <row r="934" spans="1:7" x14ac:dyDescent="0.35">
      <c r="A934" t="s">
        <v>111</v>
      </c>
      <c r="B934" t="s">
        <v>116</v>
      </c>
      <c r="C934" t="s">
        <v>37</v>
      </c>
      <c r="D934">
        <v>105</v>
      </c>
      <c r="E934">
        <v>103</v>
      </c>
      <c r="F934">
        <v>-2</v>
      </c>
      <c r="G934">
        <v>-1.9</v>
      </c>
    </row>
    <row r="935" spans="1:7" x14ac:dyDescent="0.35">
      <c r="A935" t="s">
        <v>112</v>
      </c>
      <c r="B935" t="s">
        <v>116</v>
      </c>
      <c r="C935" t="s">
        <v>37</v>
      </c>
      <c r="D935">
        <v>113</v>
      </c>
      <c r="E935">
        <v>91</v>
      </c>
      <c r="F935">
        <v>-22</v>
      </c>
      <c r="G935">
        <v>-19.5</v>
      </c>
    </row>
    <row r="936" spans="1:7" x14ac:dyDescent="0.35">
      <c r="A936" t="s">
        <v>113</v>
      </c>
      <c r="B936" t="s">
        <v>116</v>
      </c>
      <c r="C936" t="s">
        <v>37</v>
      </c>
      <c r="D936">
        <v>106</v>
      </c>
      <c r="E936">
        <v>117</v>
      </c>
      <c r="F936">
        <v>11</v>
      </c>
      <c r="G936">
        <v>10.4</v>
      </c>
    </row>
    <row r="937" spans="1:7" x14ac:dyDescent="0.35">
      <c r="A937" t="s">
        <v>114</v>
      </c>
      <c r="B937" t="s">
        <v>116</v>
      </c>
      <c r="C937" t="s">
        <v>37</v>
      </c>
      <c r="D937">
        <v>103</v>
      </c>
      <c r="E937">
        <v>113</v>
      </c>
      <c r="F937">
        <v>10</v>
      </c>
      <c r="G937">
        <v>9.6999999999999993</v>
      </c>
    </row>
    <row r="938" spans="1:7" x14ac:dyDescent="0.35">
      <c r="A938" t="s">
        <v>62</v>
      </c>
      <c r="B938" t="s">
        <v>116</v>
      </c>
      <c r="C938" t="s">
        <v>8</v>
      </c>
      <c r="D938">
        <v>21</v>
      </c>
      <c r="E938">
        <v>21</v>
      </c>
      <c r="F938">
        <v>0</v>
      </c>
      <c r="G938">
        <v>0</v>
      </c>
    </row>
    <row r="939" spans="1:7" x14ac:dyDescent="0.35">
      <c r="A939" t="s">
        <v>64</v>
      </c>
      <c r="B939" t="s">
        <v>117</v>
      </c>
      <c r="C939" t="s">
        <v>8</v>
      </c>
      <c r="D939">
        <v>22</v>
      </c>
      <c r="E939">
        <v>17</v>
      </c>
      <c r="F939">
        <v>-5</v>
      </c>
      <c r="G939">
        <v>-22.7</v>
      </c>
    </row>
    <row r="940" spans="1:7" x14ac:dyDescent="0.35">
      <c r="A940" t="s">
        <v>65</v>
      </c>
      <c r="B940" t="s">
        <v>117</v>
      </c>
      <c r="C940" t="s">
        <v>8</v>
      </c>
      <c r="D940">
        <v>23</v>
      </c>
      <c r="E940">
        <v>26</v>
      </c>
      <c r="F940">
        <v>3</v>
      </c>
      <c r="G940">
        <v>13</v>
      </c>
    </row>
    <row r="941" spans="1:7" x14ac:dyDescent="0.35">
      <c r="A941" t="s">
        <v>66</v>
      </c>
      <c r="B941" t="s">
        <v>117</v>
      </c>
      <c r="C941" t="s">
        <v>8</v>
      </c>
      <c r="D941">
        <v>25</v>
      </c>
      <c r="E941">
        <v>22</v>
      </c>
      <c r="F941">
        <v>-3</v>
      </c>
      <c r="G941">
        <v>-12</v>
      </c>
    </row>
    <row r="942" spans="1:7" x14ac:dyDescent="0.35">
      <c r="A942" t="s">
        <v>67</v>
      </c>
      <c r="B942" t="s">
        <v>117</v>
      </c>
      <c r="C942" t="s">
        <v>8</v>
      </c>
      <c r="D942">
        <v>26</v>
      </c>
      <c r="E942">
        <v>27</v>
      </c>
      <c r="F942">
        <v>1</v>
      </c>
      <c r="G942">
        <v>3.8</v>
      </c>
    </row>
    <row r="943" spans="1:7" x14ac:dyDescent="0.35">
      <c r="A943" t="s">
        <v>68</v>
      </c>
      <c r="B943" t="s">
        <v>117</v>
      </c>
      <c r="C943" t="s">
        <v>8</v>
      </c>
      <c r="D943">
        <v>26</v>
      </c>
      <c r="E943">
        <v>19</v>
      </c>
      <c r="F943">
        <v>-7</v>
      </c>
      <c r="G943">
        <v>-26.9</v>
      </c>
    </row>
    <row r="944" spans="1:7" x14ac:dyDescent="0.35">
      <c r="A944" t="s">
        <v>69</v>
      </c>
      <c r="B944" t="s">
        <v>117</v>
      </c>
      <c r="C944" t="s">
        <v>8</v>
      </c>
      <c r="D944">
        <v>25</v>
      </c>
      <c r="E944">
        <v>20</v>
      </c>
      <c r="F944">
        <v>-5</v>
      </c>
      <c r="G944">
        <v>-20</v>
      </c>
    </row>
    <row r="945" spans="1:7" x14ac:dyDescent="0.35">
      <c r="A945" t="s">
        <v>70</v>
      </c>
      <c r="B945" t="s">
        <v>117</v>
      </c>
      <c r="C945" t="s">
        <v>8</v>
      </c>
      <c r="D945">
        <v>29</v>
      </c>
      <c r="E945">
        <v>33</v>
      </c>
      <c r="F945">
        <v>4</v>
      </c>
      <c r="G945">
        <v>13.8</v>
      </c>
    </row>
    <row r="946" spans="1:7" x14ac:dyDescent="0.35">
      <c r="A946" t="s">
        <v>71</v>
      </c>
      <c r="B946" t="s">
        <v>117</v>
      </c>
      <c r="C946" t="s">
        <v>8</v>
      </c>
      <c r="D946">
        <v>25</v>
      </c>
      <c r="E946">
        <v>34</v>
      </c>
      <c r="F946">
        <v>9</v>
      </c>
      <c r="G946">
        <v>36</v>
      </c>
    </row>
    <row r="947" spans="1:7" x14ac:dyDescent="0.35">
      <c r="A947" t="s">
        <v>72</v>
      </c>
      <c r="B947" t="s">
        <v>117</v>
      </c>
      <c r="C947" t="s">
        <v>8</v>
      </c>
      <c r="D947">
        <v>26</v>
      </c>
      <c r="E947">
        <v>27</v>
      </c>
      <c r="F947">
        <v>1</v>
      </c>
      <c r="G947">
        <v>3.8</v>
      </c>
    </row>
    <row r="948" spans="1:7" x14ac:dyDescent="0.35">
      <c r="A948" t="s">
        <v>73</v>
      </c>
      <c r="B948" t="s">
        <v>117</v>
      </c>
      <c r="C948" t="s">
        <v>8</v>
      </c>
      <c r="D948">
        <v>31</v>
      </c>
      <c r="E948">
        <v>33</v>
      </c>
      <c r="F948">
        <v>2</v>
      </c>
      <c r="G948">
        <v>6.5</v>
      </c>
    </row>
    <row r="949" spans="1:7" x14ac:dyDescent="0.35">
      <c r="A949" t="s">
        <v>74</v>
      </c>
      <c r="B949" t="s">
        <v>117</v>
      </c>
      <c r="C949" t="s">
        <v>8</v>
      </c>
      <c r="D949">
        <v>33</v>
      </c>
      <c r="E949">
        <v>32</v>
      </c>
      <c r="F949">
        <v>-1</v>
      </c>
      <c r="G949">
        <v>-3</v>
      </c>
    </row>
    <row r="950" spans="1:7" x14ac:dyDescent="0.35">
      <c r="A950" t="s">
        <v>75</v>
      </c>
      <c r="B950" t="s">
        <v>117</v>
      </c>
      <c r="C950" t="s">
        <v>8</v>
      </c>
      <c r="D950">
        <v>30</v>
      </c>
      <c r="E950">
        <v>39</v>
      </c>
      <c r="F950">
        <v>9</v>
      </c>
      <c r="G950">
        <v>30</v>
      </c>
    </row>
    <row r="951" spans="1:7" x14ac:dyDescent="0.35">
      <c r="A951" t="s">
        <v>76</v>
      </c>
      <c r="B951" t="s">
        <v>117</v>
      </c>
      <c r="C951" t="s">
        <v>8</v>
      </c>
      <c r="D951">
        <v>31</v>
      </c>
      <c r="E951">
        <v>38</v>
      </c>
      <c r="F951">
        <v>7</v>
      </c>
      <c r="G951">
        <v>22.6</v>
      </c>
    </row>
    <row r="952" spans="1:7" x14ac:dyDescent="0.35">
      <c r="A952" t="s">
        <v>77</v>
      </c>
      <c r="B952" t="s">
        <v>117</v>
      </c>
      <c r="C952" t="s">
        <v>8</v>
      </c>
      <c r="D952">
        <v>35</v>
      </c>
      <c r="E952">
        <v>30</v>
      </c>
      <c r="F952">
        <v>-5</v>
      </c>
      <c r="G952">
        <v>-14.3</v>
      </c>
    </row>
    <row r="953" spans="1:7" x14ac:dyDescent="0.35">
      <c r="A953" t="s">
        <v>78</v>
      </c>
      <c r="B953" t="s">
        <v>117</v>
      </c>
      <c r="C953" t="s">
        <v>8</v>
      </c>
      <c r="D953">
        <v>34</v>
      </c>
      <c r="E953">
        <v>36</v>
      </c>
      <c r="F953">
        <v>2</v>
      </c>
      <c r="G953">
        <v>5.9</v>
      </c>
    </row>
    <row r="954" spans="1:7" x14ac:dyDescent="0.35">
      <c r="A954" t="s">
        <v>79</v>
      </c>
      <c r="B954" t="s">
        <v>117</v>
      </c>
      <c r="C954" t="s">
        <v>8</v>
      </c>
      <c r="D954">
        <v>34</v>
      </c>
      <c r="E954">
        <v>37</v>
      </c>
      <c r="F954">
        <v>3</v>
      </c>
      <c r="G954">
        <v>8.8000000000000007</v>
      </c>
    </row>
    <row r="955" spans="1:7" x14ac:dyDescent="0.35">
      <c r="A955" t="s">
        <v>80</v>
      </c>
      <c r="B955" t="s">
        <v>117</v>
      </c>
      <c r="C955" t="s">
        <v>8</v>
      </c>
      <c r="D955">
        <v>34</v>
      </c>
      <c r="E955">
        <v>29</v>
      </c>
      <c r="F955">
        <v>-5</v>
      </c>
      <c r="G955">
        <v>-14.7</v>
      </c>
    </row>
    <row r="956" spans="1:7" x14ac:dyDescent="0.35">
      <c r="A956" t="s">
        <v>81</v>
      </c>
      <c r="B956" t="s">
        <v>117</v>
      </c>
      <c r="C956" t="s">
        <v>8</v>
      </c>
      <c r="D956">
        <v>36</v>
      </c>
      <c r="E956">
        <v>36</v>
      </c>
      <c r="F956">
        <v>0</v>
      </c>
      <c r="G956">
        <v>0</v>
      </c>
    </row>
    <row r="957" spans="1:7" x14ac:dyDescent="0.35">
      <c r="A957" t="s">
        <v>82</v>
      </c>
      <c r="B957" t="s">
        <v>117</v>
      </c>
      <c r="C957" t="s">
        <v>8</v>
      </c>
      <c r="D957">
        <v>38</v>
      </c>
      <c r="E957">
        <v>31</v>
      </c>
      <c r="F957">
        <v>-7</v>
      </c>
      <c r="G957">
        <v>-18.399999999999999</v>
      </c>
    </row>
    <row r="958" spans="1:7" x14ac:dyDescent="0.35">
      <c r="A958" t="s">
        <v>83</v>
      </c>
      <c r="B958" t="s">
        <v>117</v>
      </c>
      <c r="C958" t="s">
        <v>8</v>
      </c>
      <c r="D958">
        <v>34</v>
      </c>
      <c r="E958">
        <v>12</v>
      </c>
      <c r="F958">
        <v>-22</v>
      </c>
      <c r="G958">
        <v>-64.7</v>
      </c>
    </row>
    <row r="959" spans="1:7" x14ac:dyDescent="0.35">
      <c r="A959" t="s">
        <v>84</v>
      </c>
      <c r="B959" t="s">
        <v>117</v>
      </c>
      <c r="C959" t="s">
        <v>8</v>
      </c>
      <c r="D959">
        <v>37</v>
      </c>
      <c r="E959">
        <v>18</v>
      </c>
      <c r="F959">
        <v>-19</v>
      </c>
      <c r="G959">
        <v>-51.4</v>
      </c>
    </row>
    <row r="960" spans="1:7" x14ac:dyDescent="0.35">
      <c r="A960" t="s">
        <v>85</v>
      </c>
      <c r="B960" t="s">
        <v>117</v>
      </c>
      <c r="C960" t="s">
        <v>8</v>
      </c>
      <c r="D960">
        <v>39</v>
      </c>
      <c r="E960">
        <v>18</v>
      </c>
      <c r="F960">
        <v>-21</v>
      </c>
      <c r="G960">
        <v>-53.8</v>
      </c>
    </row>
    <row r="961" spans="1:7" x14ac:dyDescent="0.35">
      <c r="A961" t="s">
        <v>86</v>
      </c>
      <c r="B961" t="s">
        <v>117</v>
      </c>
      <c r="C961" t="s">
        <v>8</v>
      </c>
      <c r="D961">
        <v>42</v>
      </c>
      <c r="E961">
        <v>15</v>
      </c>
      <c r="F961">
        <v>-27</v>
      </c>
      <c r="G961">
        <v>-64.3</v>
      </c>
    </row>
    <row r="962" spans="1:7" x14ac:dyDescent="0.35">
      <c r="A962" t="s">
        <v>87</v>
      </c>
      <c r="B962" t="s">
        <v>117</v>
      </c>
      <c r="C962" t="s">
        <v>8</v>
      </c>
      <c r="D962">
        <v>39</v>
      </c>
      <c r="E962">
        <v>16</v>
      </c>
      <c r="F962">
        <v>-23</v>
      </c>
      <c r="G962">
        <v>-59</v>
      </c>
    </row>
    <row r="963" spans="1:7" x14ac:dyDescent="0.35">
      <c r="A963" t="s">
        <v>88</v>
      </c>
      <c r="B963" t="s">
        <v>117</v>
      </c>
      <c r="C963" t="s">
        <v>8</v>
      </c>
      <c r="D963">
        <v>45</v>
      </c>
      <c r="E963">
        <v>46</v>
      </c>
      <c r="F963">
        <v>1</v>
      </c>
      <c r="G963">
        <v>2.2000000000000002</v>
      </c>
    </row>
    <row r="964" spans="1:7" x14ac:dyDescent="0.35">
      <c r="A964" t="s">
        <v>89</v>
      </c>
      <c r="B964" t="s">
        <v>117</v>
      </c>
      <c r="C964" t="s">
        <v>8</v>
      </c>
      <c r="D964">
        <v>39</v>
      </c>
      <c r="E964">
        <v>49</v>
      </c>
      <c r="F964">
        <v>10</v>
      </c>
      <c r="G964">
        <v>25.6</v>
      </c>
    </row>
    <row r="965" spans="1:7" x14ac:dyDescent="0.35">
      <c r="A965" t="s">
        <v>90</v>
      </c>
      <c r="B965" t="s">
        <v>117</v>
      </c>
      <c r="C965" t="s">
        <v>8</v>
      </c>
      <c r="D965">
        <v>42</v>
      </c>
      <c r="E965">
        <v>49</v>
      </c>
      <c r="F965">
        <v>7</v>
      </c>
      <c r="G965">
        <v>16.7</v>
      </c>
    </row>
    <row r="966" spans="1:7" x14ac:dyDescent="0.35">
      <c r="A966" t="s">
        <v>91</v>
      </c>
      <c r="B966" t="s">
        <v>117</v>
      </c>
      <c r="C966" t="s">
        <v>8</v>
      </c>
      <c r="D966">
        <v>47</v>
      </c>
      <c r="E966">
        <v>33</v>
      </c>
      <c r="F966">
        <v>-14</v>
      </c>
      <c r="G966">
        <v>-29.8</v>
      </c>
    </row>
    <row r="967" spans="1:7" x14ac:dyDescent="0.35">
      <c r="A967" t="s">
        <v>92</v>
      </c>
      <c r="B967" t="s">
        <v>117</v>
      </c>
      <c r="C967" t="s">
        <v>8</v>
      </c>
      <c r="D967">
        <v>42</v>
      </c>
      <c r="E967">
        <v>36</v>
      </c>
      <c r="F967">
        <v>-6</v>
      </c>
      <c r="G967">
        <v>-14.3</v>
      </c>
    </row>
    <row r="968" spans="1:7" x14ac:dyDescent="0.35">
      <c r="A968" t="s">
        <v>93</v>
      </c>
      <c r="B968" t="s">
        <v>117</v>
      </c>
      <c r="C968" t="s">
        <v>8</v>
      </c>
      <c r="D968">
        <v>41</v>
      </c>
      <c r="E968">
        <v>48</v>
      </c>
      <c r="F968">
        <v>7</v>
      </c>
      <c r="G968">
        <v>17.100000000000001</v>
      </c>
    </row>
    <row r="969" spans="1:7" x14ac:dyDescent="0.35">
      <c r="A969" t="s">
        <v>94</v>
      </c>
      <c r="B969" t="s">
        <v>117</v>
      </c>
      <c r="C969" t="s">
        <v>8</v>
      </c>
      <c r="D969">
        <v>48</v>
      </c>
      <c r="E969">
        <v>36</v>
      </c>
      <c r="F969">
        <v>-12</v>
      </c>
      <c r="G969">
        <v>-25</v>
      </c>
    </row>
    <row r="970" spans="1:7" x14ac:dyDescent="0.35">
      <c r="A970" t="s">
        <v>95</v>
      </c>
      <c r="B970" t="s">
        <v>117</v>
      </c>
      <c r="C970" t="s">
        <v>8</v>
      </c>
      <c r="D970">
        <v>49</v>
      </c>
      <c r="E970">
        <v>45</v>
      </c>
      <c r="F970">
        <v>-4</v>
      </c>
      <c r="G970">
        <v>-8.1999999999999993</v>
      </c>
    </row>
    <row r="971" spans="1:7" x14ac:dyDescent="0.35">
      <c r="A971" t="s">
        <v>96</v>
      </c>
      <c r="B971" t="s">
        <v>117</v>
      </c>
      <c r="C971" t="s">
        <v>8</v>
      </c>
      <c r="D971">
        <v>45</v>
      </c>
      <c r="E971">
        <v>41</v>
      </c>
      <c r="F971">
        <v>-4</v>
      </c>
      <c r="G971">
        <v>-8.9</v>
      </c>
    </row>
    <row r="972" spans="1:7" x14ac:dyDescent="0.35">
      <c r="A972" t="s">
        <v>97</v>
      </c>
      <c r="B972" t="s">
        <v>117</v>
      </c>
      <c r="C972" t="s">
        <v>8</v>
      </c>
      <c r="D972">
        <v>52</v>
      </c>
      <c r="E972">
        <v>38</v>
      </c>
      <c r="F972">
        <v>-14</v>
      </c>
      <c r="G972">
        <v>-26.9</v>
      </c>
    </row>
    <row r="973" spans="1:7" x14ac:dyDescent="0.35">
      <c r="A973" t="s">
        <v>98</v>
      </c>
      <c r="B973" t="s">
        <v>117</v>
      </c>
      <c r="C973" t="s">
        <v>8</v>
      </c>
      <c r="D973">
        <v>49</v>
      </c>
      <c r="E973">
        <v>44</v>
      </c>
      <c r="F973">
        <v>-5</v>
      </c>
      <c r="G973">
        <v>-10.199999999999999</v>
      </c>
    </row>
    <row r="974" spans="1:7" x14ac:dyDescent="0.35">
      <c r="A974" t="s">
        <v>99</v>
      </c>
      <c r="B974" t="s">
        <v>117</v>
      </c>
      <c r="C974" t="s">
        <v>8</v>
      </c>
      <c r="D974">
        <v>53</v>
      </c>
      <c r="E974">
        <v>56</v>
      </c>
      <c r="F974">
        <v>3</v>
      </c>
      <c r="G974">
        <v>5.7</v>
      </c>
    </row>
    <row r="975" spans="1:7" x14ac:dyDescent="0.35">
      <c r="A975" t="s">
        <v>100</v>
      </c>
      <c r="B975" t="s">
        <v>117</v>
      </c>
      <c r="C975" t="s">
        <v>8</v>
      </c>
      <c r="D975">
        <v>49</v>
      </c>
      <c r="E975">
        <v>54</v>
      </c>
      <c r="F975">
        <v>5</v>
      </c>
      <c r="G975">
        <v>10.199999999999999</v>
      </c>
    </row>
    <row r="976" spans="1:7" x14ac:dyDescent="0.35">
      <c r="A976" t="s">
        <v>101</v>
      </c>
      <c r="B976" t="s">
        <v>117</v>
      </c>
      <c r="C976" t="s">
        <v>8</v>
      </c>
      <c r="D976">
        <v>54</v>
      </c>
      <c r="E976">
        <v>47</v>
      </c>
      <c r="F976">
        <v>-7</v>
      </c>
      <c r="G976">
        <v>-13</v>
      </c>
    </row>
    <row r="977" spans="1:7" x14ac:dyDescent="0.35">
      <c r="A977" t="s">
        <v>102</v>
      </c>
      <c r="B977" t="s">
        <v>117</v>
      </c>
      <c r="C977" t="s">
        <v>8</v>
      </c>
      <c r="D977">
        <v>51</v>
      </c>
      <c r="E977">
        <v>43</v>
      </c>
      <c r="F977">
        <v>-8</v>
      </c>
      <c r="G977">
        <v>-15.7</v>
      </c>
    </row>
    <row r="978" spans="1:7" x14ac:dyDescent="0.35">
      <c r="A978" t="s">
        <v>103</v>
      </c>
      <c r="B978" t="s">
        <v>117</v>
      </c>
      <c r="C978" t="s">
        <v>8</v>
      </c>
      <c r="D978">
        <v>55</v>
      </c>
      <c r="E978">
        <v>46</v>
      </c>
      <c r="F978">
        <v>-9</v>
      </c>
      <c r="G978">
        <v>-16.399999999999999</v>
      </c>
    </row>
    <row r="979" spans="1:7" x14ac:dyDescent="0.35">
      <c r="A979" t="s">
        <v>104</v>
      </c>
      <c r="B979" t="s">
        <v>117</v>
      </c>
      <c r="C979" t="s">
        <v>8</v>
      </c>
      <c r="D979">
        <v>51</v>
      </c>
      <c r="E979">
        <v>42</v>
      </c>
      <c r="F979">
        <v>-9</v>
      </c>
      <c r="G979">
        <v>-17.600000000000001</v>
      </c>
    </row>
    <row r="980" spans="1:7" x14ac:dyDescent="0.35">
      <c r="A980" t="s">
        <v>105</v>
      </c>
      <c r="B980" t="s">
        <v>117</v>
      </c>
      <c r="C980" t="s">
        <v>8</v>
      </c>
      <c r="D980">
        <v>58</v>
      </c>
      <c r="E980">
        <v>64</v>
      </c>
      <c r="F980">
        <v>6</v>
      </c>
      <c r="G980">
        <v>10.3</v>
      </c>
    </row>
    <row r="981" spans="1:7" x14ac:dyDescent="0.35">
      <c r="A981" t="s">
        <v>106</v>
      </c>
      <c r="B981" t="s">
        <v>117</v>
      </c>
      <c r="C981" t="s">
        <v>8</v>
      </c>
      <c r="D981">
        <v>58</v>
      </c>
      <c r="E981">
        <v>57</v>
      </c>
      <c r="F981">
        <v>-1</v>
      </c>
      <c r="G981">
        <v>-1.7</v>
      </c>
    </row>
    <row r="982" spans="1:7" x14ac:dyDescent="0.35">
      <c r="A982" t="s">
        <v>107</v>
      </c>
      <c r="B982" t="s">
        <v>117</v>
      </c>
      <c r="C982" t="s">
        <v>8</v>
      </c>
      <c r="D982">
        <v>53</v>
      </c>
      <c r="E982">
        <v>53</v>
      </c>
      <c r="F982">
        <v>0</v>
      </c>
      <c r="G982">
        <v>0</v>
      </c>
    </row>
    <row r="983" spans="1:7" x14ac:dyDescent="0.35">
      <c r="A983" t="s">
        <v>108</v>
      </c>
      <c r="B983" t="s">
        <v>117</v>
      </c>
      <c r="C983" t="s">
        <v>8</v>
      </c>
      <c r="D983">
        <v>59</v>
      </c>
      <c r="E983">
        <v>65</v>
      </c>
      <c r="F983">
        <v>6</v>
      </c>
      <c r="G983">
        <v>10.199999999999999</v>
      </c>
    </row>
    <row r="984" spans="1:7" x14ac:dyDescent="0.35">
      <c r="A984" t="s">
        <v>109</v>
      </c>
      <c r="B984" t="s">
        <v>117</v>
      </c>
      <c r="C984" t="s">
        <v>8</v>
      </c>
      <c r="D984">
        <v>55</v>
      </c>
      <c r="E984">
        <v>61</v>
      </c>
      <c r="F984">
        <v>6</v>
      </c>
      <c r="G984">
        <v>10.9</v>
      </c>
    </row>
    <row r="985" spans="1:7" x14ac:dyDescent="0.35">
      <c r="A985" t="s">
        <v>110</v>
      </c>
      <c r="B985" t="s">
        <v>117</v>
      </c>
      <c r="C985" t="s">
        <v>8</v>
      </c>
      <c r="D985">
        <v>52</v>
      </c>
      <c r="E985">
        <v>51</v>
      </c>
      <c r="F985">
        <v>-1</v>
      </c>
      <c r="G985">
        <v>-1.9</v>
      </c>
    </row>
    <row r="986" spans="1:7" x14ac:dyDescent="0.35">
      <c r="A986" t="s">
        <v>111</v>
      </c>
      <c r="B986" t="s">
        <v>117</v>
      </c>
      <c r="C986" t="s">
        <v>8</v>
      </c>
      <c r="D986">
        <v>50</v>
      </c>
      <c r="E986">
        <v>50</v>
      </c>
      <c r="F986">
        <v>0</v>
      </c>
      <c r="G986">
        <v>0</v>
      </c>
    </row>
    <row r="987" spans="1:7" x14ac:dyDescent="0.35">
      <c r="A987" t="s">
        <v>112</v>
      </c>
      <c r="B987" t="s">
        <v>117</v>
      </c>
      <c r="C987" t="s">
        <v>8</v>
      </c>
      <c r="D987">
        <v>56</v>
      </c>
      <c r="E987">
        <v>53</v>
      </c>
      <c r="F987">
        <v>-3</v>
      </c>
      <c r="G987">
        <v>-5.4</v>
      </c>
    </row>
    <row r="988" spans="1:7" x14ac:dyDescent="0.35">
      <c r="A988" t="s">
        <v>113</v>
      </c>
      <c r="B988" t="s">
        <v>117</v>
      </c>
      <c r="C988" t="s">
        <v>8</v>
      </c>
      <c r="D988">
        <v>57</v>
      </c>
      <c r="E988">
        <v>48</v>
      </c>
      <c r="F988">
        <v>-9</v>
      </c>
      <c r="G988">
        <v>-15.8</v>
      </c>
    </row>
    <row r="989" spans="1:7" x14ac:dyDescent="0.35">
      <c r="A989" t="s">
        <v>114</v>
      </c>
      <c r="B989" t="s">
        <v>117</v>
      </c>
      <c r="C989" t="s">
        <v>8</v>
      </c>
      <c r="D989">
        <v>56</v>
      </c>
      <c r="E989">
        <v>62</v>
      </c>
      <c r="F989">
        <v>6</v>
      </c>
      <c r="G989">
        <v>10.7</v>
      </c>
    </row>
    <row r="990" spans="1:7" x14ac:dyDescent="0.35">
      <c r="A990" t="s">
        <v>62</v>
      </c>
      <c r="B990" t="s">
        <v>117</v>
      </c>
      <c r="C990" t="s">
        <v>14</v>
      </c>
      <c r="D990">
        <v>21</v>
      </c>
      <c r="E990">
        <v>26</v>
      </c>
      <c r="F990">
        <v>5</v>
      </c>
      <c r="G990">
        <v>23.8</v>
      </c>
    </row>
    <row r="991" spans="1:7" x14ac:dyDescent="0.35">
      <c r="A991" t="s">
        <v>64</v>
      </c>
      <c r="B991" t="s">
        <v>117</v>
      </c>
      <c r="C991" t="s">
        <v>14</v>
      </c>
      <c r="D991">
        <v>22</v>
      </c>
      <c r="E991">
        <v>18</v>
      </c>
      <c r="F991">
        <v>-4</v>
      </c>
      <c r="G991">
        <v>-18.2</v>
      </c>
    </row>
    <row r="992" spans="1:7" x14ac:dyDescent="0.35">
      <c r="A992" t="s">
        <v>65</v>
      </c>
      <c r="B992" t="s">
        <v>117</v>
      </c>
      <c r="C992" t="s">
        <v>14</v>
      </c>
      <c r="D992">
        <v>22</v>
      </c>
      <c r="E992">
        <v>19</v>
      </c>
      <c r="F992">
        <v>-3</v>
      </c>
      <c r="G992">
        <v>-13.6</v>
      </c>
    </row>
    <row r="993" spans="1:7" x14ac:dyDescent="0.35">
      <c r="A993" t="s">
        <v>66</v>
      </c>
      <c r="B993" t="s">
        <v>117</v>
      </c>
      <c r="C993" t="s">
        <v>14</v>
      </c>
      <c r="D993">
        <v>24</v>
      </c>
      <c r="E993">
        <v>29</v>
      </c>
      <c r="F993">
        <v>5</v>
      </c>
      <c r="G993">
        <v>20.8</v>
      </c>
    </row>
    <row r="994" spans="1:7" x14ac:dyDescent="0.35">
      <c r="A994" t="s">
        <v>67</v>
      </c>
      <c r="B994" t="s">
        <v>117</v>
      </c>
      <c r="C994" t="s">
        <v>14</v>
      </c>
      <c r="D994">
        <v>26</v>
      </c>
      <c r="E994">
        <v>19</v>
      </c>
      <c r="F994">
        <v>-7</v>
      </c>
      <c r="G994">
        <v>-26.9</v>
      </c>
    </row>
    <row r="995" spans="1:7" x14ac:dyDescent="0.35">
      <c r="A995" t="s">
        <v>68</v>
      </c>
      <c r="B995" t="s">
        <v>117</v>
      </c>
      <c r="C995" t="s">
        <v>14</v>
      </c>
      <c r="D995">
        <v>26</v>
      </c>
      <c r="E995">
        <v>21</v>
      </c>
      <c r="F995">
        <v>-5</v>
      </c>
      <c r="G995">
        <v>-19.2</v>
      </c>
    </row>
    <row r="996" spans="1:7" x14ac:dyDescent="0.35">
      <c r="A996" t="s">
        <v>69</v>
      </c>
      <c r="B996" t="s">
        <v>117</v>
      </c>
      <c r="C996" t="s">
        <v>14</v>
      </c>
      <c r="D996">
        <v>25</v>
      </c>
      <c r="E996">
        <v>28</v>
      </c>
      <c r="F996">
        <v>3</v>
      </c>
      <c r="G996">
        <v>12</v>
      </c>
    </row>
    <row r="997" spans="1:7" x14ac:dyDescent="0.35">
      <c r="A997" t="s">
        <v>70</v>
      </c>
      <c r="B997" t="s">
        <v>117</v>
      </c>
      <c r="C997" t="s">
        <v>14</v>
      </c>
      <c r="D997">
        <v>27</v>
      </c>
      <c r="E997">
        <v>32</v>
      </c>
      <c r="F997">
        <v>5</v>
      </c>
      <c r="G997">
        <v>18.5</v>
      </c>
    </row>
    <row r="998" spans="1:7" x14ac:dyDescent="0.35">
      <c r="A998" t="s">
        <v>71</v>
      </c>
      <c r="B998" t="s">
        <v>117</v>
      </c>
      <c r="C998" t="s">
        <v>14</v>
      </c>
      <c r="D998">
        <v>26</v>
      </c>
      <c r="E998">
        <v>31</v>
      </c>
      <c r="F998">
        <v>5</v>
      </c>
      <c r="G998">
        <v>19.2</v>
      </c>
    </row>
    <row r="999" spans="1:7" x14ac:dyDescent="0.35">
      <c r="A999" t="s">
        <v>72</v>
      </c>
      <c r="B999" t="s">
        <v>117</v>
      </c>
      <c r="C999" t="s">
        <v>14</v>
      </c>
      <c r="D999">
        <v>30</v>
      </c>
      <c r="E999">
        <v>29</v>
      </c>
      <c r="F999">
        <v>-1</v>
      </c>
      <c r="G999">
        <v>-3.3</v>
      </c>
    </row>
    <row r="1000" spans="1:7" x14ac:dyDescent="0.35">
      <c r="A1000" t="s">
        <v>73</v>
      </c>
      <c r="B1000" t="s">
        <v>117</v>
      </c>
      <c r="C1000" t="s">
        <v>14</v>
      </c>
      <c r="D1000">
        <v>29</v>
      </c>
      <c r="E1000">
        <v>35</v>
      </c>
      <c r="F1000">
        <v>6</v>
      </c>
      <c r="G1000">
        <v>20.7</v>
      </c>
    </row>
    <row r="1001" spans="1:7" x14ac:dyDescent="0.35">
      <c r="A1001" t="s">
        <v>74</v>
      </c>
      <c r="B1001" t="s">
        <v>117</v>
      </c>
      <c r="C1001" t="s">
        <v>14</v>
      </c>
      <c r="D1001">
        <v>29</v>
      </c>
      <c r="E1001">
        <v>37</v>
      </c>
      <c r="F1001">
        <v>8</v>
      </c>
      <c r="G1001">
        <v>27.6</v>
      </c>
    </row>
    <row r="1002" spans="1:7" x14ac:dyDescent="0.35">
      <c r="A1002" t="s">
        <v>75</v>
      </c>
      <c r="B1002" t="s">
        <v>117</v>
      </c>
      <c r="C1002" t="s">
        <v>14</v>
      </c>
      <c r="D1002">
        <v>28</v>
      </c>
      <c r="E1002">
        <v>38</v>
      </c>
      <c r="F1002">
        <v>10</v>
      </c>
      <c r="G1002">
        <v>35.700000000000003</v>
      </c>
    </row>
    <row r="1003" spans="1:7" x14ac:dyDescent="0.35">
      <c r="A1003" t="s">
        <v>76</v>
      </c>
      <c r="B1003" t="s">
        <v>117</v>
      </c>
      <c r="C1003" t="s">
        <v>14</v>
      </c>
      <c r="D1003">
        <v>35</v>
      </c>
      <c r="E1003">
        <v>25</v>
      </c>
      <c r="F1003">
        <v>-10</v>
      </c>
      <c r="G1003">
        <v>-28.6</v>
      </c>
    </row>
    <row r="1004" spans="1:7" x14ac:dyDescent="0.35">
      <c r="A1004" t="s">
        <v>77</v>
      </c>
      <c r="B1004" t="s">
        <v>117</v>
      </c>
      <c r="C1004" t="s">
        <v>14</v>
      </c>
      <c r="D1004">
        <v>36</v>
      </c>
      <c r="E1004">
        <v>32</v>
      </c>
      <c r="F1004">
        <v>-4</v>
      </c>
      <c r="G1004">
        <v>-11.1</v>
      </c>
    </row>
    <row r="1005" spans="1:7" x14ac:dyDescent="0.35">
      <c r="A1005" t="s">
        <v>78</v>
      </c>
      <c r="B1005" t="s">
        <v>117</v>
      </c>
      <c r="C1005" t="s">
        <v>14</v>
      </c>
      <c r="D1005">
        <v>32</v>
      </c>
      <c r="E1005">
        <v>35</v>
      </c>
      <c r="F1005">
        <v>3</v>
      </c>
      <c r="G1005">
        <v>9.4</v>
      </c>
    </row>
    <row r="1006" spans="1:7" x14ac:dyDescent="0.35">
      <c r="A1006" t="s">
        <v>79</v>
      </c>
      <c r="B1006" t="s">
        <v>117</v>
      </c>
      <c r="C1006" t="s">
        <v>14</v>
      </c>
      <c r="D1006">
        <v>32</v>
      </c>
      <c r="E1006">
        <v>41</v>
      </c>
      <c r="F1006">
        <v>9</v>
      </c>
      <c r="G1006">
        <v>28.1</v>
      </c>
    </row>
    <row r="1007" spans="1:7" x14ac:dyDescent="0.35">
      <c r="A1007" t="s">
        <v>80</v>
      </c>
      <c r="B1007" t="s">
        <v>117</v>
      </c>
      <c r="C1007" t="s">
        <v>14</v>
      </c>
      <c r="D1007">
        <v>35</v>
      </c>
      <c r="E1007">
        <v>40</v>
      </c>
      <c r="F1007">
        <v>5</v>
      </c>
      <c r="G1007">
        <v>14.3</v>
      </c>
    </row>
    <row r="1008" spans="1:7" x14ac:dyDescent="0.35">
      <c r="A1008" t="s">
        <v>81</v>
      </c>
      <c r="B1008" t="s">
        <v>117</v>
      </c>
      <c r="C1008" t="s">
        <v>14</v>
      </c>
      <c r="D1008">
        <v>35</v>
      </c>
      <c r="E1008">
        <v>36</v>
      </c>
      <c r="F1008">
        <v>1</v>
      </c>
      <c r="G1008">
        <v>2.9</v>
      </c>
    </row>
    <row r="1009" spans="1:7" x14ac:dyDescent="0.35">
      <c r="A1009" t="s">
        <v>82</v>
      </c>
      <c r="B1009" t="s">
        <v>117</v>
      </c>
      <c r="C1009" t="s">
        <v>14</v>
      </c>
      <c r="D1009">
        <v>35</v>
      </c>
      <c r="E1009">
        <v>32</v>
      </c>
      <c r="F1009">
        <v>-3</v>
      </c>
      <c r="G1009">
        <v>-8.6</v>
      </c>
    </row>
    <row r="1010" spans="1:7" x14ac:dyDescent="0.35">
      <c r="A1010" t="s">
        <v>83</v>
      </c>
      <c r="B1010" t="s">
        <v>117</v>
      </c>
      <c r="C1010" t="s">
        <v>14</v>
      </c>
      <c r="D1010">
        <v>37</v>
      </c>
      <c r="E1010">
        <v>16</v>
      </c>
      <c r="F1010">
        <v>-21</v>
      </c>
      <c r="G1010">
        <v>-56.8</v>
      </c>
    </row>
    <row r="1011" spans="1:7" x14ac:dyDescent="0.35">
      <c r="A1011" t="s">
        <v>84</v>
      </c>
      <c r="B1011" t="s">
        <v>117</v>
      </c>
      <c r="C1011" t="s">
        <v>14</v>
      </c>
      <c r="D1011">
        <v>35</v>
      </c>
      <c r="E1011">
        <v>21</v>
      </c>
      <c r="F1011">
        <v>-14</v>
      </c>
      <c r="G1011">
        <v>-40</v>
      </c>
    </row>
    <row r="1012" spans="1:7" x14ac:dyDescent="0.35">
      <c r="A1012" t="s">
        <v>85</v>
      </c>
      <c r="B1012" t="s">
        <v>117</v>
      </c>
      <c r="C1012" t="s">
        <v>14</v>
      </c>
      <c r="D1012">
        <v>39</v>
      </c>
      <c r="E1012">
        <v>20</v>
      </c>
      <c r="F1012">
        <v>-19</v>
      </c>
      <c r="G1012">
        <v>-48.7</v>
      </c>
    </row>
    <row r="1013" spans="1:7" x14ac:dyDescent="0.35">
      <c r="A1013" t="s">
        <v>86</v>
      </c>
      <c r="B1013" t="s">
        <v>117</v>
      </c>
      <c r="C1013" t="s">
        <v>14</v>
      </c>
      <c r="D1013">
        <v>43</v>
      </c>
      <c r="E1013">
        <v>16</v>
      </c>
      <c r="F1013">
        <v>-27</v>
      </c>
      <c r="G1013">
        <v>-62.8</v>
      </c>
    </row>
    <row r="1014" spans="1:7" x14ac:dyDescent="0.35">
      <c r="A1014" t="s">
        <v>87</v>
      </c>
      <c r="B1014" t="s">
        <v>117</v>
      </c>
      <c r="C1014" t="s">
        <v>14</v>
      </c>
      <c r="D1014">
        <v>40</v>
      </c>
      <c r="E1014">
        <v>18</v>
      </c>
      <c r="F1014">
        <v>-22</v>
      </c>
      <c r="G1014">
        <v>-55</v>
      </c>
    </row>
    <row r="1015" spans="1:7" x14ac:dyDescent="0.35">
      <c r="A1015" t="s">
        <v>88</v>
      </c>
      <c r="B1015" t="s">
        <v>117</v>
      </c>
      <c r="C1015" t="s">
        <v>14</v>
      </c>
      <c r="D1015">
        <v>39</v>
      </c>
      <c r="E1015">
        <v>34</v>
      </c>
      <c r="F1015">
        <v>-5</v>
      </c>
      <c r="G1015">
        <v>-12.8</v>
      </c>
    </row>
    <row r="1016" spans="1:7" x14ac:dyDescent="0.35">
      <c r="A1016" t="s">
        <v>89</v>
      </c>
      <c r="B1016" t="s">
        <v>117</v>
      </c>
      <c r="C1016" t="s">
        <v>14</v>
      </c>
      <c r="D1016">
        <v>40</v>
      </c>
      <c r="E1016">
        <v>51</v>
      </c>
      <c r="F1016">
        <v>11</v>
      </c>
      <c r="G1016">
        <v>27.5</v>
      </c>
    </row>
    <row r="1017" spans="1:7" x14ac:dyDescent="0.35">
      <c r="A1017" t="s">
        <v>90</v>
      </c>
      <c r="B1017" t="s">
        <v>117</v>
      </c>
      <c r="C1017" t="s">
        <v>14</v>
      </c>
      <c r="D1017">
        <v>44</v>
      </c>
      <c r="E1017">
        <v>41</v>
      </c>
      <c r="F1017">
        <v>-3</v>
      </c>
      <c r="G1017">
        <v>-6.8</v>
      </c>
    </row>
    <row r="1018" spans="1:7" x14ac:dyDescent="0.35">
      <c r="A1018" t="s">
        <v>91</v>
      </c>
      <c r="B1018" t="s">
        <v>117</v>
      </c>
      <c r="C1018" t="s">
        <v>14</v>
      </c>
      <c r="D1018">
        <v>41</v>
      </c>
      <c r="E1018">
        <v>40</v>
      </c>
      <c r="F1018">
        <v>-1</v>
      </c>
      <c r="G1018">
        <v>-2.4</v>
      </c>
    </row>
    <row r="1019" spans="1:7" x14ac:dyDescent="0.35">
      <c r="A1019" t="s">
        <v>92</v>
      </c>
      <c r="B1019" t="s">
        <v>117</v>
      </c>
      <c r="C1019" t="s">
        <v>14</v>
      </c>
      <c r="D1019">
        <v>44</v>
      </c>
      <c r="E1019">
        <v>52</v>
      </c>
      <c r="F1019">
        <v>8</v>
      </c>
      <c r="G1019">
        <v>18.2</v>
      </c>
    </row>
    <row r="1020" spans="1:7" x14ac:dyDescent="0.35">
      <c r="A1020" t="s">
        <v>93</v>
      </c>
      <c r="B1020" t="s">
        <v>117</v>
      </c>
      <c r="C1020" t="s">
        <v>14</v>
      </c>
      <c r="D1020">
        <v>45</v>
      </c>
      <c r="E1020">
        <v>49</v>
      </c>
      <c r="F1020">
        <v>4</v>
      </c>
      <c r="G1020">
        <v>8.9</v>
      </c>
    </row>
    <row r="1021" spans="1:7" x14ac:dyDescent="0.35">
      <c r="A1021" t="s">
        <v>94</v>
      </c>
      <c r="B1021" t="s">
        <v>117</v>
      </c>
      <c r="C1021" t="s">
        <v>14</v>
      </c>
      <c r="D1021">
        <v>48</v>
      </c>
      <c r="E1021">
        <v>41</v>
      </c>
      <c r="F1021">
        <v>-7</v>
      </c>
      <c r="G1021">
        <v>-14.6</v>
      </c>
    </row>
    <row r="1022" spans="1:7" x14ac:dyDescent="0.35">
      <c r="A1022" t="s">
        <v>95</v>
      </c>
      <c r="B1022" t="s">
        <v>117</v>
      </c>
      <c r="C1022" t="s">
        <v>14</v>
      </c>
      <c r="D1022">
        <v>50</v>
      </c>
      <c r="E1022">
        <v>58</v>
      </c>
      <c r="F1022">
        <v>8</v>
      </c>
      <c r="G1022">
        <v>16</v>
      </c>
    </row>
    <row r="1023" spans="1:7" x14ac:dyDescent="0.35">
      <c r="A1023" t="s">
        <v>96</v>
      </c>
      <c r="B1023" t="s">
        <v>117</v>
      </c>
      <c r="C1023" t="s">
        <v>14</v>
      </c>
      <c r="D1023">
        <v>49</v>
      </c>
      <c r="E1023">
        <v>48</v>
      </c>
      <c r="F1023">
        <v>-1</v>
      </c>
      <c r="G1023">
        <v>-2</v>
      </c>
    </row>
    <row r="1024" spans="1:7" x14ac:dyDescent="0.35">
      <c r="A1024" t="s">
        <v>97</v>
      </c>
      <c r="B1024" t="s">
        <v>117</v>
      </c>
      <c r="C1024" t="s">
        <v>14</v>
      </c>
      <c r="D1024">
        <v>45</v>
      </c>
      <c r="E1024">
        <v>56</v>
      </c>
      <c r="F1024">
        <v>11</v>
      </c>
      <c r="G1024">
        <v>24.4</v>
      </c>
    </row>
    <row r="1025" spans="1:7" x14ac:dyDescent="0.35">
      <c r="A1025" t="s">
        <v>98</v>
      </c>
      <c r="B1025" t="s">
        <v>117</v>
      </c>
      <c r="C1025" t="s">
        <v>14</v>
      </c>
      <c r="D1025">
        <v>46</v>
      </c>
      <c r="E1025">
        <v>55</v>
      </c>
      <c r="F1025">
        <v>9</v>
      </c>
      <c r="G1025">
        <v>19.600000000000001</v>
      </c>
    </row>
    <row r="1026" spans="1:7" x14ac:dyDescent="0.35">
      <c r="A1026" t="s">
        <v>99</v>
      </c>
      <c r="B1026" t="s">
        <v>117</v>
      </c>
      <c r="C1026" t="s">
        <v>14</v>
      </c>
      <c r="D1026">
        <v>50</v>
      </c>
      <c r="E1026">
        <v>61</v>
      </c>
      <c r="F1026">
        <v>11</v>
      </c>
      <c r="G1026">
        <v>22</v>
      </c>
    </row>
    <row r="1027" spans="1:7" x14ac:dyDescent="0.35">
      <c r="A1027" t="s">
        <v>100</v>
      </c>
      <c r="B1027" t="s">
        <v>117</v>
      </c>
      <c r="C1027" t="s">
        <v>14</v>
      </c>
      <c r="D1027">
        <v>52</v>
      </c>
      <c r="E1027">
        <v>55</v>
      </c>
      <c r="F1027">
        <v>3</v>
      </c>
      <c r="G1027">
        <v>5.8</v>
      </c>
    </row>
    <row r="1028" spans="1:7" x14ac:dyDescent="0.35">
      <c r="A1028" t="s">
        <v>101</v>
      </c>
      <c r="B1028" t="s">
        <v>117</v>
      </c>
      <c r="C1028" t="s">
        <v>14</v>
      </c>
      <c r="D1028">
        <v>47</v>
      </c>
      <c r="E1028">
        <v>40</v>
      </c>
      <c r="F1028">
        <v>-7</v>
      </c>
      <c r="G1028">
        <v>-14.9</v>
      </c>
    </row>
    <row r="1029" spans="1:7" x14ac:dyDescent="0.35">
      <c r="A1029" t="s">
        <v>102</v>
      </c>
      <c r="B1029" t="s">
        <v>117</v>
      </c>
      <c r="C1029" t="s">
        <v>14</v>
      </c>
      <c r="D1029">
        <v>56</v>
      </c>
      <c r="E1029">
        <v>65</v>
      </c>
      <c r="F1029">
        <v>9</v>
      </c>
      <c r="G1029">
        <v>16.100000000000001</v>
      </c>
    </row>
    <row r="1030" spans="1:7" x14ac:dyDescent="0.35">
      <c r="A1030" t="s">
        <v>103</v>
      </c>
      <c r="B1030" t="s">
        <v>117</v>
      </c>
      <c r="C1030" t="s">
        <v>14</v>
      </c>
      <c r="D1030">
        <v>55</v>
      </c>
      <c r="E1030">
        <v>61</v>
      </c>
      <c r="F1030">
        <v>6</v>
      </c>
      <c r="G1030">
        <v>10.9</v>
      </c>
    </row>
    <row r="1031" spans="1:7" x14ac:dyDescent="0.35">
      <c r="A1031" t="s">
        <v>104</v>
      </c>
      <c r="B1031" t="s">
        <v>117</v>
      </c>
      <c r="C1031" t="s">
        <v>14</v>
      </c>
      <c r="D1031">
        <v>53</v>
      </c>
      <c r="E1031">
        <v>63</v>
      </c>
      <c r="F1031">
        <v>10</v>
      </c>
      <c r="G1031">
        <v>18.899999999999999</v>
      </c>
    </row>
    <row r="1032" spans="1:7" x14ac:dyDescent="0.35">
      <c r="A1032" t="s">
        <v>105</v>
      </c>
      <c r="B1032" t="s">
        <v>117</v>
      </c>
      <c r="C1032" t="s">
        <v>14</v>
      </c>
      <c r="D1032">
        <v>51</v>
      </c>
      <c r="E1032">
        <v>59</v>
      </c>
      <c r="F1032">
        <v>8</v>
      </c>
      <c r="G1032">
        <v>15.7</v>
      </c>
    </row>
    <row r="1033" spans="1:7" x14ac:dyDescent="0.35">
      <c r="A1033" t="s">
        <v>106</v>
      </c>
      <c r="B1033" t="s">
        <v>117</v>
      </c>
      <c r="C1033" t="s">
        <v>14</v>
      </c>
      <c r="D1033">
        <v>48</v>
      </c>
      <c r="E1033">
        <v>54</v>
      </c>
      <c r="F1033">
        <v>6</v>
      </c>
      <c r="G1033">
        <v>12.5</v>
      </c>
    </row>
    <row r="1034" spans="1:7" x14ac:dyDescent="0.35">
      <c r="A1034" t="s">
        <v>107</v>
      </c>
      <c r="B1034" t="s">
        <v>117</v>
      </c>
      <c r="C1034" t="s">
        <v>14</v>
      </c>
      <c r="D1034">
        <v>52</v>
      </c>
      <c r="E1034">
        <v>57</v>
      </c>
      <c r="F1034">
        <v>5</v>
      </c>
      <c r="G1034">
        <v>9.6</v>
      </c>
    </row>
    <row r="1035" spans="1:7" x14ac:dyDescent="0.35">
      <c r="A1035" t="s">
        <v>108</v>
      </c>
      <c r="B1035" t="s">
        <v>117</v>
      </c>
      <c r="C1035" t="s">
        <v>14</v>
      </c>
      <c r="D1035">
        <v>55</v>
      </c>
      <c r="E1035">
        <v>57</v>
      </c>
      <c r="F1035">
        <v>2</v>
      </c>
      <c r="G1035">
        <v>3.6</v>
      </c>
    </row>
    <row r="1036" spans="1:7" x14ac:dyDescent="0.35">
      <c r="A1036" t="s">
        <v>109</v>
      </c>
      <c r="B1036" t="s">
        <v>117</v>
      </c>
      <c r="C1036" t="s">
        <v>14</v>
      </c>
      <c r="D1036">
        <v>53</v>
      </c>
      <c r="E1036">
        <v>53</v>
      </c>
      <c r="F1036">
        <v>0</v>
      </c>
      <c r="G1036">
        <v>0</v>
      </c>
    </row>
    <row r="1037" spans="1:7" x14ac:dyDescent="0.35">
      <c r="A1037" t="s">
        <v>110</v>
      </c>
      <c r="B1037" t="s">
        <v>117</v>
      </c>
      <c r="C1037" t="s">
        <v>14</v>
      </c>
      <c r="D1037">
        <v>48</v>
      </c>
      <c r="E1037">
        <v>55</v>
      </c>
      <c r="F1037">
        <v>7</v>
      </c>
      <c r="G1037">
        <v>14.6</v>
      </c>
    </row>
    <row r="1038" spans="1:7" x14ac:dyDescent="0.35">
      <c r="A1038" t="s">
        <v>111</v>
      </c>
      <c r="B1038" t="s">
        <v>117</v>
      </c>
      <c r="C1038" t="s">
        <v>14</v>
      </c>
      <c r="D1038">
        <v>48</v>
      </c>
      <c r="E1038">
        <v>54</v>
      </c>
      <c r="F1038">
        <v>6</v>
      </c>
      <c r="G1038">
        <v>12.5</v>
      </c>
    </row>
    <row r="1039" spans="1:7" x14ac:dyDescent="0.35">
      <c r="A1039" t="s">
        <v>112</v>
      </c>
      <c r="B1039" t="s">
        <v>117</v>
      </c>
      <c r="C1039" t="s">
        <v>14</v>
      </c>
      <c r="D1039">
        <v>51</v>
      </c>
      <c r="E1039">
        <v>66</v>
      </c>
      <c r="F1039">
        <v>15</v>
      </c>
      <c r="G1039">
        <v>29.4</v>
      </c>
    </row>
    <row r="1040" spans="1:7" x14ac:dyDescent="0.35">
      <c r="A1040" t="s">
        <v>113</v>
      </c>
      <c r="B1040" t="s">
        <v>117</v>
      </c>
      <c r="C1040" t="s">
        <v>14</v>
      </c>
      <c r="D1040">
        <v>48</v>
      </c>
      <c r="E1040">
        <v>62</v>
      </c>
      <c r="F1040">
        <v>14</v>
      </c>
      <c r="G1040">
        <v>29.2</v>
      </c>
    </row>
    <row r="1041" spans="1:7" x14ac:dyDescent="0.35">
      <c r="A1041" t="s">
        <v>114</v>
      </c>
      <c r="B1041" t="s">
        <v>117</v>
      </c>
      <c r="C1041" t="s">
        <v>14</v>
      </c>
      <c r="D1041">
        <v>55</v>
      </c>
      <c r="E1041">
        <v>62</v>
      </c>
      <c r="F1041">
        <v>7</v>
      </c>
      <c r="G1041">
        <v>12.7</v>
      </c>
    </row>
    <row r="1042" spans="1:7" x14ac:dyDescent="0.35">
      <c r="A1042" t="s">
        <v>62</v>
      </c>
      <c r="B1042" t="s">
        <v>117</v>
      </c>
      <c r="C1042" t="s">
        <v>22</v>
      </c>
      <c r="D1042">
        <v>31</v>
      </c>
      <c r="E1042">
        <v>27</v>
      </c>
      <c r="F1042">
        <v>-4</v>
      </c>
      <c r="G1042">
        <v>-12.9</v>
      </c>
    </row>
    <row r="1043" spans="1:7" x14ac:dyDescent="0.35">
      <c r="A1043" t="s">
        <v>64</v>
      </c>
      <c r="B1043" t="s">
        <v>117</v>
      </c>
      <c r="C1043" t="s">
        <v>22</v>
      </c>
      <c r="D1043">
        <v>32</v>
      </c>
      <c r="E1043">
        <v>29</v>
      </c>
      <c r="F1043">
        <v>-3</v>
      </c>
      <c r="G1043">
        <v>-9.4</v>
      </c>
    </row>
    <row r="1044" spans="1:7" x14ac:dyDescent="0.35">
      <c r="A1044" t="s">
        <v>65</v>
      </c>
      <c r="B1044" t="s">
        <v>117</v>
      </c>
      <c r="C1044" t="s">
        <v>22</v>
      </c>
      <c r="D1044">
        <v>36</v>
      </c>
      <c r="E1044">
        <v>42</v>
      </c>
      <c r="F1044">
        <v>6</v>
      </c>
      <c r="G1044">
        <v>16.7</v>
      </c>
    </row>
    <row r="1045" spans="1:7" x14ac:dyDescent="0.35">
      <c r="A1045" t="s">
        <v>66</v>
      </c>
      <c r="B1045" t="s">
        <v>117</v>
      </c>
      <c r="C1045" t="s">
        <v>22</v>
      </c>
      <c r="D1045">
        <v>36</v>
      </c>
      <c r="E1045">
        <v>35</v>
      </c>
      <c r="F1045">
        <v>-1</v>
      </c>
      <c r="G1045">
        <v>-2.8</v>
      </c>
    </row>
    <row r="1046" spans="1:7" x14ac:dyDescent="0.35">
      <c r="A1046" t="s">
        <v>67</v>
      </c>
      <c r="B1046" t="s">
        <v>117</v>
      </c>
      <c r="C1046" t="s">
        <v>22</v>
      </c>
      <c r="D1046">
        <v>38</v>
      </c>
      <c r="E1046">
        <v>37</v>
      </c>
      <c r="F1046">
        <v>-1</v>
      </c>
      <c r="G1046">
        <v>-2.6</v>
      </c>
    </row>
    <row r="1047" spans="1:7" x14ac:dyDescent="0.35">
      <c r="A1047" t="s">
        <v>68</v>
      </c>
      <c r="B1047" t="s">
        <v>117</v>
      </c>
      <c r="C1047" t="s">
        <v>22</v>
      </c>
      <c r="D1047">
        <v>40</v>
      </c>
      <c r="E1047">
        <v>50</v>
      </c>
      <c r="F1047">
        <v>10</v>
      </c>
      <c r="G1047">
        <v>25</v>
      </c>
    </row>
    <row r="1048" spans="1:7" x14ac:dyDescent="0.35">
      <c r="A1048" t="s">
        <v>69</v>
      </c>
      <c r="B1048" t="s">
        <v>117</v>
      </c>
      <c r="C1048" t="s">
        <v>22</v>
      </c>
      <c r="D1048">
        <v>39</v>
      </c>
      <c r="E1048">
        <v>45</v>
      </c>
      <c r="F1048">
        <v>6</v>
      </c>
      <c r="G1048">
        <v>15.4</v>
      </c>
    </row>
    <row r="1049" spans="1:7" x14ac:dyDescent="0.35">
      <c r="A1049" t="s">
        <v>70</v>
      </c>
      <c r="B1049" t="s">
        <v>117</v>
      </c>
      <c r="C1049" t="s">
        <v>22</v>
      </c>
      <c r="D1049">
        <v>45</v>
      </c>
      <c r="E1049">
        <v>46</v>
      </c>
      <c r="F1049">
        <v>1</v>
      </c>
      <c r="G1049">
        <v>2.2000000000000002</v>
      </c>
    </row>
    <row r="1050" spans="1:7" x14ac:dyDescent="0.35">
      <c r="A1050" t="s">
        <v>71</v>
      </c>
      <c r="B1050" t="s">
        <v>117</v>
      </c>
      <c r="C1050" t="s">
        <v>22</v>
      </c>
      <c r="D1050">
        <v>47</v>
      </c>
      <c r="E1050">
        <v>49</v>
      </c>
      <c r="F1050">
        <v>2</v>
      </c>
      <c r="G1050">
        <v>4.3</v>
      </c>
    </row>
    <row r="1051" spans="1:7" x14ac:dyDescent="0.35">
      <c r="A1051" t="s">
        <v>72</v>
      </c>
      <c r="B1051" t="s">
        <v>117</v>
      </c>
      <c r="C1051" t="s">
        <v>22</v>
      </c>
      <c r="D1051">
        <v>41</v>
      </c>
      <c r="E1051">
        <v>42</v>
      </c>
      <c r="F1051">
        <v>1</v>
      </c>
      <c r="G1051">
        <v>2.4</v>
      </c>
    </row>
    <row r="1052" spans="1:7" x14ac:dyDescent="0.35">
      <c r="A1052" t="s">
        <v>73</v>
      </c>
      <c r="B1052" t="s">
        <v>117</v>
      </c>
      <c r="C1052" t="s">
        <v>22</v>
      </c>
      <c r="D1052">
        <v>47</v>
      </c>
      <c r="E1052">
        <v>36</v>
      </c>
      <c r="F1052">
        <v>-11</v>
      </c>
      <c r="G1052">
        <v>-23.4</v>
      </c>
    </row>
    <row r="1053" spans="1:7" x14ac:dyDescent="0.35">
      <c r="A1053" t="s">
        <v>74</v>
      </c>
      <c r="B1053" t="s">
        <v>117</v>
      </c>
      <c r="C1053" t="s">
        <v>22</v>
      </c>
      <c r="D1053">
        <v>43</v>
      </c>
      <c r="E1053">
        <v>40</v>
      </c>
      <c r="F1053">
        <v>-3</v>
      </c>
      <c r="G1053">
        <v>-7</v>
      </c>
    </row>
    <row r="1054" spans="1:7" x14ac:dyDescent="0.35">
      <c r="A1054" t="s">
        <v>75</v>
      </c>
      <c r="B1054" t="s">
        <v>117</v>
      </c>
      <c r="C1054" t="s">
        <v>22</v>
      </c>
      <c r="D1054">
        <v>49</v>
      </c>
      <c r="E1054">
        <v>47</v>
      </c>
      <c r="F1054">
        <v>-2</v>
      </c>
      <c r="G1054">
        <v>-4.0999999999999996</v>
      </c>
    </row>
    <row r="1055" spans="1:7" x14ac:dyDescent="0.35">
      <c r="A1055" t="s">
        <v>76</v>
      </c>
      <c r="B1055" t="s">
        <v>117</v>
      </c>
      <c r="C1055" t="s">
        <v>22</v>
      </c>
      <c r="D1055">
        <v>53</v>
      </c>
      <c r="E1055">
        <v>52</v>
      </c>
      <c r="F1055">
        <v>-1</v>
      </c>
      <c r="G1055">
        <v>-1.9</v>
      </c>
    </row>
    <row r="1056" spans="1:7" x14ac:dyDescent="0.35">
      <c r="A1056" t="s">
        <v>77</v>
      </c>
      <c r="B1056" t="s">
        <v>117</v>
      </c>
      <c r="C1056" t="s">
        <v>22</v>
      </c>
      <c r="D1056">
        <v>55</v>
      </c>
      <c r="E1056">
        <v>41</v>
      </c>
      <c r="F1056">
        <v>-14</v>
      </c>
      <c r="G1056">
        <v>-25.5</v>
      </c>
    </row>
    <row r="1057" spans="1:7" x14ac:dyDescent="0.35">
      <c r="A1057" t="s">
        <v>78</v>
      </c>
      <c r="B1057" t="s">
        <v>117</v>
      </c>
      <c r="C1057" t="s">
        <v>22</v>
      </c>
      <c r="D1057">
        <v>53</v>
      </c>
      <c r="E1057">
        <v>40</v>
      </c>
      <c r="F1057">
        <v>-13</v>
      </c>
      <c r="G1057">
        <v>-24.5</v>
      </c>
    </row>
    <row r="1058" spans="1:7" x14ac:dyDescent="0.35">
      <c r="A1058" t="s">
        <v>79</v>
      </c>
      <c r="B1058" t="s">
        <v>117</v>
      </c>
      <c r="C1058" t="s">
        <v>22</v>
      </c>
      <c r="D1058">
        <v>51</v>
      </c>
      <c r="E1058">
        <v>64</v>
      </c>
      <c r="F1058">
        <v>13</v>
      </c>
      <c r="G1058">
        <v>25.5</v>
      </c>
    </row>
    <row r="1059" spans="1:7" x14ac:dyDescent="0.35">
      <c r="A1059" t="s">
        <v>80</v>
      </c>
      <c r="B1059" t="s">
        <v>117</v>
      </c>
      <c r="C1059" t="s">
        <v>22</v>
      </c>
      <c r="D1059">
        <v>59</v>
      </c>
      <c r="E1059">
        <v>54</v>
      </c>
      <c r="F1059">
        <v>-5</v>
      </c>
      <c r="G1059">
        <v>-8.5</v>
      </c>
    </row>
    <row r="1060" spans="1:7" x14ac:dyDescent="0.35">
      <c r="A1060" t="s">
        <v>81</v>
      </c>
      <c r="B1060" t="s">
        <v>117</v>
      </c>
      <c r="C1060" t="s">
        <v>22</v>
      </c>
      <c r="D1060">
        <v>51</v>
      </c>
      <c r="E1060">
        <v>44</v>
      </c>
      <c r="F1060">
        <v>-7</v>
      </c>
      <c r="G1060">
        <v>-13.7</v>
      </c>
    </row>
    <row r="1061" spans="1:7" x14ac:dyDescent="0.35">
      <c r="A1061" t="s">
        <v>82</v>
      </c>
      <c r="B1061" t="s">
        <v>117</v>
      </c>
      <c r="C1061" t="s">
        <v>22</v>
      </c>
      <c r="D1061">
        <v>63</v>
      </c>
      <c r="E1061">
        <v>69</v>
      </c>
      <c r="F1061">
        <v>6</v>
      </c>
      <c r="G1061">
        <v>9.5</v>
      </c>
    </row>
    <row r="1062" spans="1:7" x14ac:dyDescent="0.35">
      <c r="A1062" t="s">
        <v>83</v>
      </c>
      <c r="B1062" t="s">
        <v>117</v>
      </c>
      <c r="C1062" t="s">
        <v>22</v>
      </c>
      <c r="D1062">
        <v>60</v>
      </c>
      <c r="E1062">
        <v>45</v>
      </c>
      <c r="F1062">
        <v>-15</v>
      </c>
      <c r="G1062">
        <v>-25</v>
      </c>
    </row>
    <row r="1063" spans="1:7" x14ac:dyDescent="0.35">
      <c r="A1063" t="s">
        <v>84</v>
      </c>
      <c r="B1063" t="s">
        <v>117</v>
      </c>
      <c r="C1063" t="s">
        <v>22</v>
      </c>
      <c r="D1063">
        <v>65</v>
      </c>
      <c r="E1063">
        <v>55</v>
      </c>
      <c r="F1063">
        <v>-10</v>
      </c>
      <c r="G1063">
        <v>-15.4</v>
      </c>
    </row>
    <row r="1064" spans="1:7" x14ac:dyDescent="0.35">
      <c r="A1064" t="s">
        <v>85</v>
      </c>
      <c r="B1064" t="s">
        <v>117</v>
      </c>
      <c r="C1064" t="s">
        <v>22</v>
      </c>
      <c r="D1064">
        <v>67</v>
      </c>
      <c r="E1064">
        <v>64</v>
      </c>
      <c r="F1064">
        <v>-3</v>
      </c>
      <c r="G1064">
        <v>-4.5</v>
      </c>
    </row>
    <row r="1065" spans="1:7" x14ac:dyDescent="0.35">
      <c r="A1065" t="s">
        <v>86</v>
      </c>
      <c r="B1065" t="s">
        <v>117</v>
      </c>
      <c r="C1065" t="s">
        <v>22</v>
      </c>
      <c r="D1065">
        <v>66</v>
      </c>
      <c r="E1065">
        <v>70</v>
      </c>
      <c r="F1065">
        <v>4</v>
      </c>
      <c r="G1065">
        <v>6.1</v>
      </c>
    </row>
    <row r="1066" spans="1:7" x14ac:dyDescent="0.35">
      <c r="A1066" t="s">
        <v>87</v>
      </c>
      <c r="B1066" t="s">
        <v>117</v>
      </c>
      <c r="C1066" t="s">
        <v>22</v>
      </c>
      <c r="D1066">
        <v>63</v>
      </c>
      <c r="E1066">
        <v>50</v>
      </c>
      <c r="F1066">
        <v>-13</v>
      </c>
      <c r="G1066">
        <v>-20.6</v>
      </c>
    </row>
    <row r="1067" spans="1:7" x14ac:dyDescent="0.35">
      <c r="A1067" t="s">
        <v>88</v>
      </c>
      <c r="B1067" t="s">
        <v>117</v>
      </c>
      <c r="C1067" t="s">
        <v>22</v>
      </c>
      <c r="D1067">
        <v>61</v>
      </c>
      <c r="E1067">
        <v>57</v>
      </c>
      <c r="F1067">
        <v>-4</v>
      </c>
      <c r="G1067">
        <v>-6.6</v>
      </c>
    </row>
    <row r="1068" spans="1:7" x14ac:dyDescent="0.35">
      <c r="A1068" t="s">
        <v>89</v>
      </c>
      <c r="B1068" t="s">
        <v>117</v>
      </c>
      <c r="C1068" t="s">
        <v>22</v>
      </c>
      <c r="D1068">
        <v>71</v>
      </c>
      <c r="E1068">
        <v>63</v>
      </c>
      <c r="F1068">
        <v>-8</v>
      </c>
      <c r="G1068">
        <v>-11.3</v>
      </c>
    </row>
    <row r="1069" spans="1:7" x14ac:dyDescent="0.35">
      <c r="A1069" t="s">
        <v>90</v>
      </c>
      <c r="B1069" t="s">
        <v>117</v>
      </c>
      <c r="C1069" t="s">
        <v>22</v>
      </c>
      <c r="D1069">
        <v>73</v>
      </c>
      <c r="E1069">
        <v>62</v>
      </c>
      <c r="F1069">
        <v>-11</v>
      </c>
      <c r="G1069">
        <v>-15.1</v>
      </c>
    </row>
    <row r="1070" spans="1:7" x14ac:dyDescent="0.35">
      <c r="A1070" t="s">
        <v>91</v>
      </c>
      <c r="B1070" t="s">
        <v>117</v>
      </c>
      <c r="C1070" t="s">
        <v>22</v>
      </c>
      <c r="D1070">
        <v>73</v>
      </c>
      <c r="E1070">
        <v>57</v>
      </c>
      <c r="F1070">
        <v>-16</v>
      </c>
      <c r="G1070">
        <v>-21.9</v>
      </c>
    </row>
    <row r="1071" spans="1:7" x14ac:dyDescent="0.35">
      <c r="A1071" t="s">
        <v>92</v>
      </c>
      <c r="B1071" t="s">
        <v>117</v>
      </c>
      <c r="C1071" t="s">
        <v>22</v>
      </c>
      <c r="D1071">
        <v>77</v>
      </c>
      <c r="E1071">
        <v>78</v>
      </c>
      <c r="F1071">
        <v>1</v>
      </c>
      <c r="G1071">
        <v>1.3</v>
      </c>
    </row>
    <row r="1072" spans="1:7" x14ac:dyDescent="0.35">
      <c r="A1072" t="s">
        <v>93</v>
      </c>
      <c r="B1072" t="s">
        <v>117</v>
      </c>
      <c r="C1072" t="s">
        <v>22</v>
      </c>
      <c r="D1072">
        <v>72</v>
      </c>
      <c r="E1072">
        <v>89</v>
      </c>
      <c r="F1072">
        <v>17</v>
      </c>
      <c r="G1072">
        <v>23.6</v>
      </c>
    </row>
    <row r="1073" spans="1:7" x14ac:dyDescent="0.35">
      <c r="A1073" t="s">
        <v>94</v>
      </c>
      <c r="B1073" t="s">
        <v>117</v>
      </c>
      <c r="C1073" t="s">
        <v>22</v>
      </c>
      <c r="D1073">
        <v>66</v>
      </c>
      <c r="E1073">
        <v>71</v>
      </c>
      <c r="F1073">
        <v>5</v>
      </c>
      <c r="G1073">
        <v>7.6</v>
      </c>
    </row>
    <row r="1074" spans="1:7" x14ac:dyDescent="0.35">
      <c r="A1074" t="s">
        <v>95</v>
      </c>
      <c r="B1074" t="s">
        <v>117</v>
      </c>
      <c r="C1074" t="s">
        <v>22</v>
      </c>
      <c r="D1074">
        <v>79</v>
      </c>
      <c r="E1074">
        <v>68</v>
      </c>
      <c r="F1074">
        <v>-11</v>
      </c>
      <c r="G1074">
        <v>-13.9</v>
      </c>
    </row>
    <row r="1075" spans="1:7" x14ac:dyDescent="0.35">
      <c r="A1075" t="s">
        <v>96</v>
      </c>
      <c r="B1075" t="s">
        <v>117</v>
      </c>
      <c r="C1075" t="s">
        <v>22</v>
      </c>
      <c r="D1075">
        <v>80</v>
      </c>
      <c r="E1075">
        <v>93</v>
      </c>
      <c r="F1075">
        <v>13</v>
      </c>
      <c r="G1075">
        <v>16.2</v>
      </c>
    </row>
    <row r="1076" spans="1:7" x14ac:dyDescent="0.35">
      <c r="A1076" t="s">
        <v>97</v>
      </c>
      <c r="B1076" t="s">
        <v>117</v>
      </c>
      <c r="C1076" t="s">
        <v>22</v>
      </c>
      <c r="D1076">
        <v>75</v>
      </c>
      <c r="E1076">
        <v>87</v>
      </c>
      <c r="F1076">
        <v>12</v>
      </c>
      <c r="G1076">
        <v>16</v>
      </c>
    </row>
    <row r="1077" spans="1:7" x14ac:dyDescent="0.35">
      <c r="A1077" t="s">
        <v>98</v>
      </c>
      <c r="B1077" t="s">
        <v>117</v>
      </c>
      <c r="C1077" t="s">
        <v>22</v>
      </c>
      <c r="D1077">
        <v>71</v>
      </c>
      <c r="E1077">
        <v>69</v>
      </c>
      <c r="F1077">
        <v>-2</v>
      </c>
      <c r="G1077">
        <v>-2.8</v>
      </c>
    </row>
    <row r="1078" spans="1:7" x14ac:dyDescent="0.35">
      <c r="A1078" t="s">
        <v>99</v>
      </c>
      <c r="B1078" t="s">
        <v>117</v>
      </c>
      <c r="C1078" t="s">
        <v>22</v>
      </c>
      <c r="D1078">
        <v>87</v>
      </c>
      <c r="E1078">
        <v>79</v>
      </c>
      <c r="F1078">
        <v>-8</v>
      </c>
      <c r="G1078">
        <v>-9.1999999999999993</v>
      </c>
    </row>
    <row r="1079" spans="1:7" x14ac:dyDescent="0.35">
      <c r="A1079" t="s">
        <v>100</v>
      </c>
      <c r="B1079" t="s">
        <v>117</v>
      </c>
      <c r="C1079" t="s">
        <v>22</v>
      </c>
      <c r="D1079">
        <v>78</v>
      </c>
      <c r="E1079">
        <v>99</v>
      </c>
      <c r="F1079">
        <v>21</v>
      </c>
      <c r="G1079">
        <v>26.9</v>
      </c>
    </row>
    <row r="1080" spans="1:7" x14ac:dyDescent="0.35">
      <c r="A1080" t="s">
        <v>101</v>
      </c>
      <c r="B1080" t="s">
        <v>117</v>
      </c>
      <c r="C1080" t="s">
        <v>22</v>
      </c>
      <c r="D1080">
        <v>81</v>
      </c>
      <c r="E1080">
        <v>89</v>
      </c>
      <c r="F1080">
        <v>8</v>
      </c>
      <c r="G1080">
        <v>9.9</v>
      </c>
    </row>
    <row r="1081" spans="1:7" x14ac:dyDescent="0.35">
      <c r="A1081" t="s">
        <v>102</v>
      </c>
      <c r="B1081" t="s">
        <v>117</v>
      </c>
      <c r="C1081" t="s">
        <v>22</v>
      </c>
      <c r="D1081">
        <v>86</v>
      </c>
      <c r="E1081">
        <v>66</v>
      </c>
      <c r="F1081">
        <v>-20</v>
      </c>
      <c r="G1081">
        <v>-23.3</v>
      </c>
    </row>
    <row r="1082" spans="1:7" x14ac:dyDescent="0.35">
      <c r="A1082" t="s">
        <v>103</v>
      </c>
      <c r="B1082" t="s">
        <v>117</v>
      </c>
      <c r="C1082" t="s">
        <v>22</v>
      </c>
      <c r="D1082">
        <v>87</v>
      </c>
      <c r="E1082">
        <v>97</v>
      </c>
      <c r="F1082">
        <v>10</v>
      </c>
      <c r="G1082">
        <v>11.5</v>
      </c>
    </row>
    <row r="1083" spans="1:7" x14ac:dyDescent="0.35">
      <c r="A1083" t="s">
        <v>104</v>
      </c>
      <c r="B1083" t="s">
        <v>117</v>
      </c>
      <c r="C1083" t="s">
        <v>22</v>
      </c>
      <c r="D1083">
        <v>88</v>
      </c>
      <c r="E1083">
        <v>67</v>
      </c>
      <c r="F1083">
        <v>-21</v>
      </c>
      <c r="G1083">
        <v>-23.9</v>
      </c>
    </row>
    <row r="1084" spans="1:7" x14ac:dyDescent="0.35">
      <c r="A1084" t="s">
        <v>105</v>
      </c>
      <c r="B1084" t="s">
        <v>117</v>
      </c>
      <c r="C1084" t="s">
        <v>22</v>
      </c>
      <c r="D1084">
        <v>79</v>
      </c>
      <c r="E1084">
        <v>93</v>
      </c>
      <c r="F1084">
        <v>14</v>
      </c>
      <c r="G1084">
        <v>17.7</v>
      </c>
    </row>
    <row r="1085" spans="1:7" x14ac:dyDescent="0.35">
      <c r="A1085" t="s">
        <v>106</v>
      </c>
      <c r="B1085" t="s">
        <v>117</v>
      </c>
      <c r="C1085" t="s">
        <v>22</v>
      </c>
      <c r="D1085">
        <v>87</v>
      </c>
      <c r="E1085">
        <v>95</v>
      </c>
      <c r="F1085">
        <v>8</v>
      </c>
      <c r="G1085">
        <v>9.1999999999999993</v>
      </c>
    </row>
    <row r="1086" spans="1:7" x14ac:dyDescent="0.35">
      <c r="A1086" t="s">
        <v>107</v>
      </c>
      <c r="B1086" t="s">
        <v>117</v>
      </c>
      <c r="C1086" t="s">
        <v>22</v>
      </c>
      <c r="D1086">
        <v>81</v>
      </c>
      <c r="E1086">
        <v>68</v>
      </c>
      <c r="F1086">
        <v>-13</v>
      </c>
      <c r="G1086">
        <v>-16</v>
      </c>
    </row>
    <row r="1087" spans="1:7" x14ac:dyDescent="0.35">
      <c r="A1087" t="s">
        <v>108</v>
      </c>
      <c r="B1087" t="s">
        <v>117</v>
      </c>
      <c r="C1087" t="s">
        <v>22</v>
      </c>
      <c r="D1087">
        <v>76</v>
      </c>
      <c r="E1087">
        <v>76</v>
      </c>
      <c r="F1087">
        <v>0</v>
      </c>
      <c r="G1087">
        <v>0</v>
      </c>
    </row>
    <row r="1088" spans="1:7" x14ac:dyDescent="0.35">
      <c r="A1088" t="s">
        <v>109</v>
      </c>
      <c r="B1088" t="s">
        <v>117</v>
      </c>
      <c r="C1088" t="s">
        <v>22</v>
      </c>
      <c r="D1088">
        <v>82</v>
      </c>
      <c r="E1088">
        <v>75</v>
      </c>
      <c r="F1088">
        <v>-7</v>
      </c>
      <c r="G1088">
        <v>-8.5</v>
      </c>
    </row>
    <row r="1089" spans="1:7" x14ac:dyDescent="0.35">
      <c r="A1089" t="s">
        <v>110</v>
      </c>
      <c r="B1089" t="s">
        <v>117</v>
      </c>
      <c r="C1089" t="s">
        <v>22</v>
      </c>
      <c r="D1089">
        <v>78</v>
      </c>
      <c r="E1089">
        <v>71</v>
      </c>
      <c r="F1089">
        <v>-7</v>
      </c>
      <c r="G1089">
        <v>-9</v>
      </c>
    </row>
    <row r="1090" spans="1:7" x14ac:dyDescent="0.35">
      <c r="A1090" t="s">
        <v>111</v>
      </c>
      <c r="B1090" t="s">
        <v>117</v>
      </c>
      <c r="C1090" t="s">
        <v>22</v>
      </c>
      <c r="D1090">
        <v>84</v>
      </c>
      <c r="E1090">
        <v>87</v>
      </c>
      <c r="F1090">
        <v>3</v>
      </c>
      <c r="G1090">
        <v>3.6</v>
      </c>
    </row>
    <row r="1091" spans="1:7" x14ac:dyDescent="0.35">
      <c r="A1091" t="s">
        <v>112</v>
      </c>
      <c r="B1091" t="s">
        <v>117</v>
      </c>
      <c r="C1091" t="s">
        <v>22</v>
      </c>
      <c r="D1091">
        <v>83</v>
      </c>
      <c r="E1091">
        <v>64</v>
      </c>
      <c r="F1091">
        <v>-19</v>
      </c>
      <c r="G1091">
        <v>-22.9</v>
      </c>
    </row>
    <row r="1092" spans="1:7" x14ac:dyDescent="0.35">
      <c r="A1092" t="s">
        <v>113</v>
      </c>
      <c r="B1092" t="s">
        <v>117</v>
      </c>
      <c r="C1092" t="s">
        <v>22</v>
      </c>
      <c r="D1092">
        <v>82</v>
      </c>
      <c r="E1092">
        <v>67</v>
      </c>
      <c r="F1092">
        <v>-15</v>
      </c>
      <c r="G1092">
        <v>-18.3</v>
      </c>
    </row>
    <row r="1093" spans="1:7" x14ac:dyDescent="0.35">
      <c r="A1093" t="s">
        <v>114</v>
      </c>
      <c r="B1093" t="s">
        <v>117</v>
      </c>
      <c r="C1093" t="s">
        <v>22</v>
      </c>
      <c r="D1093">
        <v>86</v>
      </c>
      <c r="E1093">
        <v>77</v>
      </c>
      <c r="F1093">
        <v>-9</v>
      </c>
      <c r="G1093">
        <v>-10.5</v>
      </c>
    </row>
    <row r="1094" spans="1:7" x14ac:dyDescent="0.35">
      <c r="A1094" t="s">
        <v>62</v>
      </c>
      <c r="B1094" t="s">
        <v>117</v>
      </c>
      <c r="C1094" t="s">
        <v>27</v>
      </c>
      <c r="D1094">
        <v>49</v>
      </c>
      <c r="E1094">
        <v>52</v>
      </c>
      <c r="F1094">
        <v>3</v>
      </c>
      <c r="G1094">
        <v>6.1</v>
      </c>
    </row>
    <row r="1095" spans="1:7" x14ac:dyDescent="0.35">
      <c r="A1095" t="s">
        <v>64</v>
      </c>
      <c r="B1095" t="s">
        <v>117</v>
      </c>
      <c r="C1095" t="s">
        <v>27</v>
      </c>
      <c r="D1095">
        <v>60</v>
      </c>
      <c r="E1095">
        <v>63</v>
      </c>
      <c r="F1095">
        <v>3</v>
      </c>
      <c r="G1095">
        <v>5</v>
      </c>
    </row>
    <row r="1096" spans="1:7" x14ac:dyDescent="0.35">
      <c r="A1096" t="s">
        <v>65</v>
      </c>
      <c r="B1096" t="s">
        <v>117</v>
      </c>
      <c r="C1096" t="s">
        <v>27</v>
      </c>
      <c r="D1096">
        <v>60</v>
      </c>
      <c r="E1096">
        <v>73</v>
      </c>
      <c r="F1096">
        <v>13</v>
      </c>
      <c r="G1096">
        <v>21.7</v>
      </c>
    </row>
    <row r="1097" spans="1:7" x14ac:dyDescent="0.35">
      <c r="A1097" t="s">
        <v>66</v>
      </c>
      <c r="B1097" t="s">
        <v>117</v>
      </c>
      <c r="C1097" t="s">
        <v>27</v>
      </c>
      <c r="D1097">
        <v>58</v>
      </c>
      <c r="E1097">
        <v>62</v>
      </c>
      <c r="F1097">
        <v>4</v>
      </c>
      <c r="G1097">
        <v>6.9</v>
      </c>
    </row>
    <row r="1098" spans="1:7" x14ac:dyDescent="0.35">
      <c r="A1098" t="s">
        <v>67</v>
      </c>
      <c r="B1098" t="s">
        <v>117</v>
      </c>
      <c r="C1098" t="s">
        <v>27</v>
      </c>
      <c r="D1098">
        <v>65</v>
      </c>
      <c r="E1098">
        <v>52</v>
      </c>
      <c r="F1098">
        <v>-13</v>
      </c>
      <c r="G1098">
        <v>-20</v>
      </c>
    </row>
    <row r="1099" spans="1:7" x14ac:dyDescent="0.35">
      <c r="A1099" t="s">
        <v>68</v>
      </c>
      <c r="B1099" t="s">
        <v>117</v>
      </c>
      <c r="C1099" t="s">
        <v>27</v>
      </c>
      <c r="D1099">
        <v>62</v>
      </c>
      <c r="E1099">
        <v>57</v>
      </c>
      <c r="F1099">
        <v>-5</v>
      </c>
      <c r="G1099">
        <v>-8.1</v>
      </c>
    </row>
    <row r="1100" spans="1:7" x14ac:dyDescent="0.35">
      <c r="A1100" t="s">
        <v>69</v>
      </c>
      <c r="B1100" t="s">
        <v>117</v>
      </c>
      <c r="C1100" t="s">
        <v>27</v>
      </c>
      <c r="D1100">
        <v>62</v>
      </c>
      <c r="E1100">
        <v>56</v>
      </c>
      <c r="F1100">
        <v>-6</v>
      </c>
      <c r="G1100">
        <v>-9.6999999999999993</v>
      </c>
    </row>
    <row r="1101" spans="1:7" x14ac:dyDescent="0.35">
      <c r="A1101" t="s">
        <v>70</v>
      </c>
      <c r="B1101" t="s">
        <v>117</v>
      </c>
      <c r="C1101" t="s">
        <v>27</v>
      </c>
      <c r="D1101">
        <v>66</v>
      </c>
      <c r="E1101">
        <v>62</v>
      </c>
      <c r="F1101">
        <v>-4</v>
      </c>
      <c r="G1101">
        <v>-6.1</v>
      </c>
    </row>
    <row r="1102" spans="1:7" x14ac:dyDescent="0.35">
      <c r="A1102" t="s">
        <v>71</v>
      </c>
      <c r="B1102" t="s">
        <v>117</v>
      </c>
      <c r="C1102" t="s">
        <v>27</v>
      </c>
      <c r="D1102">
        <v>75</v>
      </c>
      <c r="E1102">
        <v>66</v>
      </c>
      <c r="F1102">
        <v>-9</v>
      </c>
      <c r="G1102">
        <v>-12</v>
      </c>
    </row>
    <row r="1103" spans="1:7" x14ac:dyDescent="0.35">
      <c r="A1103" t="s">
        <v>72</v>
      </c>
      <c r="B1103" t="s">
        <v>117</v>
      </c>
      <c r="C1103" t="s">
        <v>27</v>
      </c>
      <c r="D1103">
        <v>80</v>
      </c>
      <c r="E1103">
        <v>81</v>
      </c>
      <c r="F1103">
        <v>1</v>
      </c>
      <c r="G1103">
        <v>1.2</v>
      </c>
    </row>
    <row r="1104" spans="1:7" x14ac:dyDescent="0.35">
      <c r="A1104" t="s">
        <v>73</v>
      </c>
      <c r="B1104" t="s">
        <v>117</v>
      </c>
      <c r="C1104" t="s">
        <v>27</v>
      </c>
      <c r="D1104">
        <v>75</v>
      </c>
      <c r="E1104">
        <v>80</v>
      </c>
      <c r="F1104">
        <v>5</v>
      </c>
      <c r="G1104">
        <v>6.7</v>
      </c>
    </row>
    <row r="1105" spans="1:7" x14ac:dyDescent="0.35">
      <c r="A1105" t="s">
        <v>74</v>
      </c>
      <c r="B1105" t="s">
        <v>117</v>
      </c>
      <c r="C1105" t="s">
        <v>27</v>
      </c>
      <c r="D1105">
        <v>77</v>
      </c>
      <c r="E1105">
        <v>63</v>
      </c>
      <c r="F1105">
        <v>-14</v>
      </c>
      <c r="G1105">
        <v>-18.2</v>
      </c>
    </row>
    <row r="1106" spans="1:7" x14ac:dyDescent="0.35">
      <c r="A1106" t="s">
        <v>75</v>
      </c>
      <c r="B1106" t="s">
        <v>117</v>
      </c>
      <c r="C1106" t="s">
        <v>27</v>
      </c>
      <c r="D1106">
        <v>72</v>
      </c>
      <c r="E1106">
        <v>75</v>
      </c>
      <c r="F1106">
        <v>3</v>
      </c>
      <c r="G1106">
        <v>4.2</v>
      </c>
    </row>
    <row r="1107" spans="1:7" x14ac:dyDescent="0.35">
      <c r="A1107" t="s">
        <v>76</v>
      </c>
      <c r="B1107" t="s">
        <v>117</v>
      </c>
      <c r="C1107" t="s">
        <v>27</v>
      </c>
      <c r="D1107">
        <v>87</v>
      </c>
      <c r="E1107">
        <v>77</v>
      </c>
      <c r="F1107">
        <v>-10</v>
      </c>
      <c r="G1107">
        <v>-11.5</v>
      </c>
    </row>
    <row r="1108" spans="1:7" x14ac:dyDescent="0.35">
      <c r="A1108" t="s">
        <v>77</v>
      </c>
      <c r="B1108" t="s">
        <v>117</v>
      </c>
      <c r="C1108" t="s">
        <v>27</v>
      </c>
      <c r="D1108">
        <v>90</v>
      </c>
      <c r="E1108">
        <v>81</v>
      </c>
      <c r="F1108">
        <v>-9</v>
      </c>
      <c r="G1108">
        <v>-10</v>
      </c>
    </row>
    <row r="1109" spans="1:7" x14ac:dyDescent="0.35">
      <c r="A1109" t="s">
        <v>78</v>
      </c>
      <c r="B1109" t="s">
        <v>117</v>
      </c>
      <c r="C1109" t="s">
        <v>27</v>
      </c>
      <c r="D1109">
        <v>85</v>
      </c>
      <c r="E1109">
        <v>100</v>
      </c>
      <c r="F1109">
        <v>15</v>
      </c>
      <c r="G1109">
        <v>17.600000000000001</v>
      </c>
    </row>
    <row r="1110" spans="1:7" x14ac:dyDescent="0.35">
      <c r="A1110" t="s">
        <v>79</v>
      </c>
      <c r="B1110" t="s">
        <v>117</v>
      </c>
      <c r="C1110" t="s">
        <v>27</v>
      </c>
      <c r="D1110">
        <v>90</v>
      </c>
      <c r="E1110">
        <v>92</v>
      </c>
      <c r="F1110">
        <v>2</v>
      </c>
      <c r="G1110">
        <v>2.2000000000000002</v>
      </c>
    </row>
    <row r="1111" spans="1:7" x14ac:dyDescent="0.35">
      <c r="A1111" t="s">
        <v>80</v>
      </c>
      <c r="B1111" t="s">
        <v>117</v>
      </c>
      <c r="C1111" t="s">
        <v>27</v>
      </c>
      <c r="D1111">
        <v>86</v>
      </c>
      <c r="E1111">
        <v>95</v>
      </c>
      <c r="F1111">
        <v>9</v>
      </c>
      <c r="G1111">
        <v>10.5</v>
      </c>
    </row>
    <row r="1112" spans="1:7" x14ac:dyDescent="0.35">
      <c r="A1112" t="s">
        <v>81</v>
      </c>
      <c r="B1112" t="s">
        <v>117</v>
      </c>
      <c r="C1112" t="s">
        <v>27</v>
      </c>
      <c r="D1112">
        <v>96</v>
      </c>
      <c r="E1112">
        <v>91</v>
      </c>
      <c r="F1112">
        <v>-5</v>
      </c>
      <c r="G1112">
        <v>-5.2</v>
      </c>
    </row>
    <row r="1113" spans="1:7" x14ac:dyDescent="0.35">
      <c r="A1113" t="s">
        <v>82</v>
      </c>
      <c r="B1113" t="s">
        <v>117</v>
      </c>
      <c r="C1113" t="s">
        <v>27</v>
      </c>
      <c r="D1113">
        <v>88</v>
      </c>
      <c r="E1113">
        <v>89</v>
      </c>
      <c r="F1113">
        <v>1</v>
      </c>
      <c r="G1113">
        <v>1.1000000000000001</v>
      </c>
    </row>
    <row r="1114" spans="1:7" x14ac:dyDescent="0.35">
      <c r="A1114" t="s">
        <v>83</v>
      </c>
      <c r="B1114" t="s">
        <v>117</v>
      </c>
      <c r="C1114" t="s">
        <v>27</v>
      </c>
      <c r="D1114">
        <v>93</v>
      </c>
      <c r="E1114">
        <v>107</v>
      </c>
      <c r="F1114">
        <v>14</v>
      </c>
      <c r="G1114">
        <v>15.1</v>
      </c>
    </row>
    <row r="1115" spans="1:7" x14ac:dyDescent="0.35">
      <c r="A1115" t="s">
        <v>84</v>
      </c>
      <c r="B1115" t="s">
        <v>117</v>
      </c>
      <c r="C1115" t="s">
        <v>27</v>
      </c>
      <c r="D1115">
        <v>101</v>
      </c>
      <c r="E1115">
        <v>121</v>
      </c>
      <c r="F1115">
        <v>20</v>
      </c>
      <c r="G1115">
        <v>19.8</v>
      </c>
    </row>
    <row r="1116" spans="1:7" x14ac:dyDescent="0.35">
      <c r="A1116" t="s">
        <v>85</v>
      </c>
      <c r="B1116" t="s">
        <v>117</v>
      </c>
      <c r="C1116" t="s">
        <v>27</v>
      </c>
      <c r="D1116">
        <v>106</v>
      </c>
      <c r="E1116">
        <v>91</v>
      </c>
      <c r="F1116">
        <v>-15</v>
      </c>
      <c r="G1116">
        <v>-14.2</v>
      </c>
    </row>
    <row r="1117" spans="1:7" x14ac:dyDescent="0.35">
      <c r="A1117" t="s">
        <v>86</v>
      </c>
      <c r="B1117" t="s">
        <v>117</v>
      </c>
      <c r="C1117" t="s">
        <v>27</v>
      </c>
      <c r="D1117">
        <v>98</v>
      </c>
      <c r="E1117">
        <v>117</v>
      </c>
      <c r="F1117">
        <v>19</v>
      </c>
      <c r="G1117">
        <v>19.399999999999999</v>
      </c>
    </row>
    <row r="1118" spans="1:7" x14ac:dyDescent="0.35">
      <c r="A1118" t="s">
        <v>87</v>
      </c>
      <c r="B1118" t="s">
        <v>117</v>
      </c>
      <c r="C1118" t="s">
        <v>27</v>
      </c>
      <c r="D1118">
        <v>102</v>
      </c>
      <c r="E1118">
        <v>127</v>
      </c>
      <c r="F1118">
        <v>25</v>
      </c>
      <c r="G1118">
        <v>24.5</v>
      </c>
    </row>
    <row r="1119" spans="1:7" x14ac:dyDescent="0.35">
      <c r="A1119" t="s">
        <v>88</v>
      </c>
      <c r="B1119" t="s">
        <v>117</v>
      </c>
      <c r="C1119" t="s">
        <v>27</v>
      </c>
      <c r="D1119">
        <v>100</v>
      </c>
      <c r="E1119">
        <v>133</v>
      </c>
      <c r="F1119">
        <v>33</v>
      </c>
      <c r="G1119">
        <v>33</v>
      </c>
    </row>
    <row r="1120" spans="1:7" x14ac:dyDescent="0.35">
      <c r="A1120" t="s">
        <v>89</v>
      </c>
      <c r="B1120" t="s">
        <v>117</v>
      </c>
      <c r="C1120" t="s">
        <v>27</v>
      </c>
      <c r="D1120">
        <v>102</v>
      </c>
      <c r="E1120">
        <v>123</v>
      </c>
      <c r="F1120">
        <v>21</v>
      </c>
      <c r="G1120">
        <v>20.6</v>
      </c>
    </row>
    <row r="1121" spans="1:7" x14ac:dyDescent="0.35">
      <c r="A1121" t="s">
        <v>90</v>
      </c>
      <c r="B1121" t="s">
        <v>117</v>
      </c>
      <c r="C1121" t="s">
        <v>27</v>
      </c>
      <c r="D1121">
        <v>100</v>
      </c>
      <c r="E1121">
        <v>123</v>
      </c>
      <c r="F1121">
        <v>23</v>
      </c>
      <c r="G1121">
        <v>23</v>
      </c>
    </row>
    <row r="1122" spans="1:7" x14ac:dyDescent="0.35">
      <c r="A1122" t="s">
        <v>91</v>
      </c>
      <c r="B1122" t="s">
        <v>117</v>
      </c>
      <c r="C1122" t="s">
        <v>27</v>
      </c>
      <c r="D1122">
        <v>123</v>
      </c>
      <c r="E1122">
        <v>96</v>
      </c>
      <c r="F1122">
        <v>-27</v>
      </c>
      <c r="G1122">
        <v>-22</v>
      </c>
    </row>
    <row r="1123" spans="1:7" x14ac:dyDescent="0.35">
      <c r="A1123" t="s">
        <v>92</v>
      </c>
      <c r="B1123" t="s">
        <v>117</v>
      </c>
      <c r="C1123" t="s">
        <v>27</v>
      </c>
      <c r="D1123">
        <v>122</v>
      </c>
      <c r="E1123">
        <v>134</v>
      </c>
      <c r="F1123">
        <v>12</v>
      </c>
      <c r="G1123">
        <v>9.8000000000000007</v>
      </c>
    </row>
    <row r="1124" spans="1:7" x14ac:dyDescent="0.35">
      <c r="A1124" t="s">
        <v>93</v>
      </c>
      <c r="B1124" t="s">
        <v>117</v>
      </c>
      <c r="C1124" t="s">
        <v>27</v>
      </c>
      <c r="D1124">
        <v>107</v>
      </c>
      <c r="E1124">
        <v>137</v>
      </c>
      <c r="F1124">
        <v>30</v>
      </c>
      <c r="G1124">
        <v>28</v>
      </c>
    </row>
    <row r="1125" spans="1:7" x14ac:dyDescent="0.35">
      <c r="A1125" t="s">
        <v>94</v>
      </c>
      <c r="B1125" t="s">
        <v>117</v>
      </c>
      <c r="C1125" t="s">
        <v>27</v>
      </c>
      <c r="D1125">
        <v>126</v>
      </c>
      <c r="E1125">
        <v>129</v>
      </c>
      <c r="F1125">
        <v>3</v>
      </c>
      <c r="G1125">
        <v>2.4</v>
      </c>
    </row>
    <row r="1126" spans="1:7" x14ac:dyDescent="0.35">
      <c r="A1126" t="s">
        <v>95</v>
      </c>
      <c r="B1126" t="s">
        <v>117</v>
      </c>
      <c r="C1126" t="s">
        <v>27</v>
      </c>
      <c r="D1126">
        <v>112</v>
      </c>
      <c r="E1126">
        <v>109</v>
      </c>
      <c r="F1126">
        <v>-3</v>
      </c>
      <c r="G1126">
        <v>-2.7</v>
      </c>
    </row>
    <row r="1127" spans="1:7" x14ac:dyDescent="0.35">
      <c r="A1127" t="s">
        <v>96</v>
      </c>
      <c r="B1127" t="s">
        <v>117</v>
      </c>
      <c r="C1127" t="s">
        <v>27</v>
      </c>
      <c r="D1127">
        <v>117</v>
      </c>
      <c r="E1127">
        <v>102</v>
      </c>
      <c r="F1127">
        <v>-15</v>
      </c>
      <c r="G1127">
        <v>-12.8</v>
      </c>
    </row>
    <row r="1128" spans="1:7" x14ac:dyDescent="0.35">
      <c r="A1128" t="s">
        <v>97</v>
      </c>
      <c r="B1128" t="s">
        <v>117</v>
      </c>
      <c r="C1128" t="s">
        <v>27</v>
      </c>
      <c r="D1128">
        <v>123</v>
      </c>
      <c r="E1128">
        <v>117</v>
      </c>
      <c r="F1128">
        <v>-6</v>
      </c>
      <c r="G1128">
        <v>-4.9000000000000004</v>
      </c>
    </row>
    <row r="1129" spans="1:7" x14ac:dyDescent="0.35">
      <c r="A1129" t="s">
        <v>98</v>
      </c>
      <c r="B1129" t="s">
        <v>117</v>
      </c>
      <c r="C1129" t="s">
        <v>27</v>
      </c>
      <c r="D1129">
        <v>126</v>
      </c>
      <c r="E1129">
        <v>133</v>
      </c>
      <c r="F1129">
        <v>7</v>
      </c>
      <c r="G1129">
        <v>5.6</v>
      </c>
    </row>
    <row r="1130" spans="1:7" x14ac:dyDescent="0.35">
      <c r="A1130" t="s">
        <v>99</v>
      </c>
      <c r="B1130" t="s">
        <v>117</v>
      </c>
      <c r="C1130" t="s">
        <v>27</v>
      </c>
      <c r="D1130">
        <v>131</v>
      </c>
      <c r="E1130">
        <v>131</v>
      </c>
      <c r="F1130">
        <v>0</v>
      </c>
      <c r="G1130">
        <v>0</v>
      </c>
    </row>
    <row r="1131" spans="1:7" x14ac:dyDescent="0.35">
      <c r="A1131" t="s">
        <v>100</v>
      </c>
      <c r="B1131" t="s">
        <v>117</v>
      </c>
      <c r="C1131" t="s">
        <v>27</v>
      </c>
      <c r="D1131">
        <v>142</v>
      </c>
      <c r="E1131">
        <v>156</v>
      </c>
      <c r="F1131">
        <v>14</v>
      </c>
      <c r="G1131">
        <v>9.9</v>
      </c>
    </row>
    <row r="1132" spans="1:7" x14ac:dyDescent="0.35">
      <c r="A1132" t="s">
        <v>101</v>
      </c>
      <c r="B1132" t="s">
        <v>117</v>
      </c>
      <c r="C1132" t="s">
        <v>27</v>
      </c>
      <c r="D1132">
        <v>131</v>
      </c>
      <c r="E1132">
        <v>102</v>
      </c>
      <c r="F1132">
        <v>-29</v>
      </c>
      <c r="G1132">
        <v>-22.1</v>
      </c>
    </row>
    <row r="1133" spans="1:7" x14ac:dyDescent="0.35">
      <c r="A1133" t="s">
        <v>102</v>
      </c>
      <c r="B1133" t="s">
        <v>117</v>
      </c>
      <c r="C1133" t="s">
        <v>27</v>
      </c>
      <c r="D1133">
        <v>148</v>
      </c>
      <c r="E1133">
        <v>149</v>
      </c>
      <c r="F1133">
        <v>1</v>
      </c>
      <c r="G1133">
        <v>0.7</v>
      </c>
    </row>
    <row r="1134" spans="1:7" x14ac:dyDescent="0.35">
      <c r="A1134" t="s">
        <v>103</v>
      </c>
      <c r="B1134" t="s">
        <v>117</v>
      </c>
      <c r="C1134" t="s">
        <v>27</v>
      </c>
      <c r="D1134">
        <v>146</v>
      </c>
      <c r="E1134">
        <v>144</v>
      </c>
      <c r="F1134">
        <v>-2</v>
      </c>
      <c r="G1134">
        <v>-1.4</v>
      </c>
    </row>
    <row r="1135" spans="1:7" x14ac:dyDescent="0.35">
      <c r="A1135" t="s">
        <v>104</v>
      </c>
      <c r="B1135" t="s">
        <v>117</v>
      </c>
      <c r="C1135" t="s">
        <v>27</v>
      </c>
      <c r="D1135">
        <v>149</v>
      </c>
      <c r="E1135">
        <v>111</v>
      </c>
      <c r="F1135">
        <v>-38</v>
      </c>
      <c r="G1135">
        <v>-25.5</v>
      </c>
    </row>
    <row r="1136" spans="1:7" x14ac:dyDescent="0.35">
      <c r="A1136" t="s">
        <v>105</v>
      </c>
      <c r="B1136" t="s">
        <v>117</v>
      </c>
      <c r="C1136" t="s">
        <v>27</v>
      </c>
      <c r="D1136">
        <v>131</v>
      </c>
      <c r="E1136">
        <v>149</v>
      </c>
      <c r="F1136">
        <v>18</v>
      </c>
      <c r="G1136">
        <v>13.7</v>
      </c>
    </row>
    <row r="1137" spans="1:7" x14ac:dyDescent="0.35">
      <c r="A1137" t="s">
        <v>106</v>
      </c>
      <c r="B1137" t="s">
        <v>117</v>
      </c>
      <c r="C1137" t="s">
        <v>27</v>
      </c>
      <c r="D1137">
        <v>128</v>
      </c>
      <c r="E1137">
        <v>145</v>
      </c>
      <c r="F1137">
        <v>17</v>
      </c>
      <c r="G1137">
        <v>13.3</v>
      </c>
    </row>
    <row r="1138" spans="1:7" x14ac:dyDescent="0.35">
      <c r="A1138" t="s">
        <v>107</v>
      </c>
      <c r="B1138" t="s">
        <v>117</v>
      </c>
      <c r="C1138" t="s">
        <v>27</v>
      </c>
      <c r="D1138">
        <v>139</v>
      </c>
      <c r="E1138">
        <v>148</v>
      </c>
      <c r="F1138">
        <v>9</v>
      </c>
      <c r="G1138">
        <v>6.5</v>
      </c>
    </row>
    <row r="1139" spans="1:7" x14ac:dyDescent="0.35">
      <c r="A1139" t="s">
        <v>108</v>
      </c>
      <c r="B1139" t="s">
        <v>117</v>
      </c>
      <c r="C1139" t="s">
        <v>27</v>
      </c>
      <c r="D1139">
        <v>142</v>
      </c>
      <c r="E1139">
        <v>170</v>
      </c>
      <c r="F1139">
        <v>28</v>
      </c>
      <c r="G1139">
        <v>19.7</v>
      </c>
    </row>
    <row r="1140" spans="1:7" x14ac:dyDescent="0.35">
      <c r="A1140" t="s">
        <v>109</v>
      </c>
      <c r="B1140" t="s">
        <v>117</v>
      </c>
      <c r="C1140" t="s">
        <v>27</v>
      </c>
      <c r="D1140">
        <v>133</v>
      </c>
      <c r="E1140">
        <v>158</v>
      </c>
      <c r="F1140">
        <v>25</v>
      </c>
      <c r="G1140">
        <v>18.8</v>
      </c>
    </row>
    <row r="1141" spans="1:7" x14ac:dyDescent="0.35">
      <c r="A1141" t="s">
        <v>110</v>
      </c>
      <c r="B1141" t="s">
        <v>117</v>
      </c>
      <c r="C1141" t="s">
        <v>27</v>
      </c>
      <c r="D1141">
        <v>127</v>
      </c>
      <c r="E1141">
        <v>110</v>
      </c>
      <c r="F1141">
        <v>-17</v>
      </c>
      <c r="G1141">
        <v>-13.4</v>
      </c>
    </row>
    <row r="1142" spans="1:7" x14ac:dyDescent="0.35">
      <c r="A1142" t="s">
        <v>111</v>
      </c>
      <c r="B1142" t="s">
        <v>117</v>
      </c>
      <c r="C1142" t="s">
        <v>27</v>
      </c>
      <c r="D1142">
        <v>130</v>
      </c>
      <c r="E1142">
        <v>155</v>
      </c>
      <c r="F1142">
        <v>25</v>
      </c>
      <c r="G1142">
        <v>19.2</v>
      </c>
    </row>
    <row r="1143" spans="1:7" x14ac:dyDescent="0.35">
      <c r="A1143" t="s">
        <v>112</v>
      </c>
      <c r="B1143" t="s">
        <v>117</v>
      </c>
      <c r="C1143" t="s">
        <v>27</v>
      </c>
      <c r="D1143">
        <v>139</v>
      </c>
      <c r="E1143">
        <v>150</v>
      </c>
      <c r="F1143">
        <v>11</v>
      </c>
      <c r="G1143">
        <v>7.9</v>
      </c>
    </row>
    <row r="1144" spans="1:7" x14ac:dyDescent="0.35">
      <c r="A1144" t="s">
        <v>113</v>
      </c>
      <c r="B1144" t="s">
        <v>117</v>
      </c>
      <c r="C1144" t="s">
        <v>27</v>
      </c>
      <c r="D1144">
        <v>130</v>
      </c>
      <c r="E1144">
        <v>129</v>
      </c>
      <c r="F1144">
        <v>-1</v>
      </c>
      <c r="G1144">
        <v>-0.8</v>
      </c>
    </row>
    <row r="1145" spans="1:7" x14ac:dyDescent="0.35">
      <c r="A1145" t="s">
        <v>114</v>
      </c>
      <c r="B1145" t="s">
        <v>117</v>
      </c>
      <c r="C1145" t="s">
        <v>27</v>
      </c>
      <c r="D1145">
        <v>136</v>
      </c>
      <c r="E1145">
        <v>150</v>
      </c>
      <c r="F1145">
        <v>14</v>
      </c>
      <c r="G1145">
        <v>10.3</v>
      </c>
    </row>
    <row r="1146" spans="1:7" x14ac:dyDescent="0.35">
      <c r="A1146" t="s">
        <v>62</v>
      </c>
      <c r="B1146" t="s">
        <v>117</v>
      </c>
      <c r="C1146" t="s">
        <v>32</v>
      </c>
      <c r="D1146">
        <v>62</v>
      </c>
      <c r="E1146">
        <v>83</v>
      </c>
      <c r="F1146">
        <v>21</v>
      </c>
      <c r="G1146">
        <v>33.9</v>
      </c>
    </row>
    <row r="1147" spans="1:7" x14ac:dyDescent="0.35">
      <c r="A1147" t="s">
        <v>64</v>
      </c>
      <c r="B1147" t="s">
        <v>117</v>
      </c>
      <c r="C1147" t="s">
        <v>32</v>
      </c>
      <c r="D1147">
        <v>69</v>
      </c>
      <c r="E1147">
        <v>62</v>
      </c>
      <c r="F1147">
        <v>-7</v>
      </c>
      <c r="G1147">
        <v>-10.1</v>
      </c>
    </row>
    <row r="1148" spans="1:7" x14ac:dyDescent="0.35">
      <c r="A1148" t="s">
        <v>65</v>
      </c>
      <c r="B1148" t="s">
        <v>117</v>
      </c>
      <c r="C1148" t="s">
        <v>32</v>
      </c>
      <c r="D1148">
        <v>78</v>
      </c>
      <c r="E1148">
        <v>57</v>
      </c>
      <c r="F1148">
        <v>-21</v>
      </c>
      <c r="G1148">
        <v>-26.9</v>
      </c>
    </row>
    <row r="1149" spans="1:7" x14ac:dyDescent="0.35">
      <c r="A1149" t="s">
        <v>66</v>
      </c>
      <c r="B1149" t="s">
        <v>117</v>
      </c>
      <c r="C1149" t="s">
        <v>32</v>
      </c>
      <c r="D1149">
        <v>79</v>
      </c>
      <c r="E1149">
        <v>83</v>
      </c>
      <c r="F1149">
        <v>4</v>
      </c>
      <c r="G1149">
        <v>5.0999999999999996</v>
      </c>
    </row>
    <row r="1150" spans="1:7" x14ac:dyDescent="0.35">
      <c r="A1150" t="s">
        <v>67</v>
      </c>
      <c r="B1150" t="s">
        <v>117</v>
      </c>
      <c r="C1150" t="s">
        <v>32</v>
      </c>
      <c r="D1150">
        <v>74</v>
      </c>
      <c r="E1150">
        <v>71</v>
      </c>
      <c r="F1150">
        <v>-3</v>
      </c>
      <c r="G1150">
        <v>-4.0999999999999996</v>
      </c>
    </row>
    <row r="1151" spans="1:7" x14ac:dyDescent="0.35">
      <c r="A1151" t="s">
        <v>68</v>
      </c>
      <c r="B1151" t="s">
        <v>117</v>
      </c>
      <c r="C1151" t="s">
        <v>32</v>
      </c>
      <c r="D1151">
        <v>84</v>
      </c>
      <c r="E1151">
        <v>80</v>
      </c>
      <c r="F1151">
        <v>-4</v>
      </c>
      <c r="G1151">
        <v>-4.8</v>
      </c>
    </row>
    <row r="1152" spans="1:7" x14ac:dyDescent="0.35">
      <c r="A1152" t="s">
        <v>69</v>
      </c>
      <c r="B1152" t="s">
        <v>117</v>
      </c>
      <c r="C1152" t="s">
        <v>32</v>
      </c>
      <c r="D1152">
        <v>79</v>
      </c>
      <c r="E1152">
        <v>65</v>
      </c>
      <c r="F1152">
        <v>-14</v>
      </c>
      <c r="G1152">
        <v>-17.7</v>
      </c>
    </row>
    <row r="1153" spans="1:7" x14ac:dyDescent="0.35">
      <c r="A1153" t="s">
        <v>70</v>
      </c>
      <c r="B1153" t="s">
        <v>117</v>
      </c>
      <c r="C1153" t="s">
        <v>32</v>
      </c>
      <c r="D1153">
        <v>88</v>
      </c>
      <c r="E1153">
        <v>82</v>
      </c>
      <c r="F1153">
        <v>-6</v>
      </c>
      <c r="G1153">
        <v>-6.8</v>
      </c>
    </row>
    <row r="1154" spans="1:7" x14ac:dyDescent="0.35">
      <c r="A1154" t="s">
        <v>71</v>
      </c>
      <c r="B1154" t="s">
        <v>117</v>
      </c>
      <c r="C1154" t="s">
        <v>32</v>
      </c>
      <c r="D1154">
        <v>79</v>
      </c>
      <c r="E1154">
        <v>67</v>
      </c>
      <c r="F1154">
        <v>-12</v>
      </c>
      <c r="G1154">
        <v>-15.2</v>
      </c>
    </row>
    <row r="1155" spans="1:7" x14ac:dyDescent="0.35">
      <c r="A1155" t="s">
        <v>72</v>
      </c>
      <c r="B1155" t="s">
        <v>117</v>
      </c>
      <c r="C1155" t="s">
        <v>32</v>
      </c>
      <c r="D1155">
        <v>93</v>
      </c>
      <c r="E1155">
        <v>68</v>
      </c>
      <c r="F1155">
        <v>-25</v>
      </c>
      <c r="G1155">
        <v>-26.9</v>
      </c>
    </row>
    <row r="1156" spans="1:7" x14ac:dyDescent="0.35">
      <c r="A1156" t="s">
        <v>73</v>
      </c>
      <c r="B1156" t="s">
        <v>117</v>
      </c>
      <c r="C1156" t="s">
        <v>32</v>
      </c>
      <c r="D1156">
        <v>89</v>
      </c>
      <c r="E1156">
        <v>74</v>
      </c>
      <c r="F1156">
        <v>-15</v>
      </c>
      <c r="G1156">
        <v>-16.899999999999999</v>
      </c>
    </row>
    <row r="1157" spans="1:7" x14ac:dyDescent="0.35">
      <c r="A1157" t="s">
        <v>74</v>
      </c>
      <c r="B1157" t="s">
        <v>117</v>
      </c>
      <c r="C1157" t="s">
        <v>32</v>
      </c>
      <c r="D1157">
        <v>100</v>
      </c>
      <c r="E1157">
        <v>115</v>
      </c>
      <c r="F1157">
        <v>15</v>
      </c>
      <c r="G1157">
        <v>15</v>
      </c>
    </row>
    <row r="1158" spans="1:7" x14ac:dyDescent="0.35">
      <c r="A1158" t="s">
        <v>75</v>
      </c>
      <c r="B1158" t="s">
        <v>117</v>
      </c>
      <c r="C1158" t="s">
        <v>32</v>
      </c>
      <c r="D1158">
        <v>102</v>
      </c>
      <c r="E1158">
        <v>98</v>
      </c>
      <c r="F1158">
        <v>-4</v>
      </c>
      <c r="G1158">
        <v>-3.9</v>
      </c>
    </row>
    <row r="1159" spans="1:7" x14ac:dyDescent="0.35">
      <c r="A1159" t="s">
        <v>76</v>
      </c>
      <c r="B1159" t="s">
        <v>117</v>
      </c>
      <c r="C1159" t="s">
        <v>32</v>
      </c>
      <c r="D1159">
        <v>100</v>
      </c>
      <c r="E1159">
        <v>91</v>
      </c>
      <c r="F1159">
        <v>-9</v>
      </c>
      <c r="G1159">
        <v>-9</v>
      </c>
    </row>
    <row r="1160" spans="1:7" x14ac:dyDescent="0.35">
      <c r="A1160" t="s">
        <v>77</v>
      </c>
      <c r="B1160" t="s">
        <v>117</v>
      </c>
      <c r="C1160" t="s">
        <v>32</v>
      </c>
      <c r="D1160">
        <v>100</v>
      </c>
      <c r="E1160">
        <v>100</v>
      </c>
      <c r="F1160">
        <v>0</v>
      </c>
      <c r="G1160">
        <v>0</v>
      </c>
    </row>
    <row r="1161" spans="1:7" x14ac:dyDescent="0.35">
      <c r="A1161" t="s">
        <v>78</v>
      </c>
      <c r="B1161" t="s">
        <v>117</v>
      </c>
      <c r="C1161" t="s">
        <v>32</v>
      </c>
      <c r="D1161">
        <v>111</v>
      </c>
      <c r="E1161">
        <v>111</v>
      </c>
      <c r="F1161">
        <v>0</v>
      </c>
      <c r="G1161">
        <v>0</v>
      </c>
    </row>
    <row r="1162" spans="1:7" x14ac:dyDescent="0.35">
      <c r="A1162" t="s">
        <v>79</v>
      </c>
      <c r="B1162" t="s">
        <v>117</v>
      </c>
      <c r="C1162" t="s">
        <v>32</v>
      </c>
      <c r="D1162">
        <v>100</v>
      </c>
      <c r="E1162">
        <v>115</v>
      </c>
      <c r="F1162">
        <v>15</v>
      </c>
      <c r="G1162">
        <v>15</v>
      </c>
    </row>
    <row r="1163" spans="1:7" x14ac:dyDescent="0.35">
      <c r="A1163" t="s">
        <v>80</v>
      </c>
      <c r="B1163" t="s">
        <v>117</v>
      </c>
      <c r="C1163" t="s">
        <v>32</v>
      </c>
      <c r="D1163">
        <v>107</v>
      </c>
      <c r="E1163">
        <v>123</v>
      </c>
      <c r="F1163">
        <v>16</v>
      </c>
      <c r="G1163">
        <v>15</v>
      </c>
    </row>
    <row r="1164" spans="1:7" x14ac:dyDescent="0.35">
      <c r="A1164" t="s">
        <v>81</v>
      </c>
      <c r="B1164" t="s">
        <v>117</v>
      </c>
      <c r="C1164" t="s">
        <v>32</v>
      </c>
      <c r="D1164">
        <v>121</v>
      </c>
      <c r="E1164">
        <v>109</v>
      </c>
      <c r="F1164">
        <v>-12</v>
      </c>
      <c r="G1164">
        <v>-9.9</v>
      </c>
    </row>
    <row r="1165" spans="1:7" x14ac:dyDescent="0.35">
      <c r="A1165" t="s">
        <v>82</v>
      </c>
      <c r="B1165" t="s">
        <v>117</v>
      </c>
      <c r="C1165" t="s">
        <v>32</v>
      </c>
      <c r="D1165">
        <v>113</v>
      </c>
      <c r="E1165">
        <v>86</v>
      </c>
      <c r="F1165">
        <v>-27</v>
      </c>
      <c r="G1165">
        <v>-23.9</v>
      </c>
    </row>
    <row r="1166" spans="1:7" x14ac:dyDescent="0.35">
      <c r="A1166" t="s">
        <v>83</v>
      </c>
      <c r="B1166" t="s">
        <v>117</v>
      </c>
      <c r="C1166" t="s">
        <v>32</v>
      </c>
      <c r="D1166">
        <v>110</v>
      </c>
      <c r="E1166">
        <v>104</v>
      </c>
      <c r="F1166">
        <v>-6</v>
      </c>
      <c r="G1166">
        <v>-5.5</v>
      </c>
    </row>
    <row r="1167" spans="1:7" x14ac:dyDescent="0.35">
      <c r="A1167" t="s">
        <v>84</v>
      </c>
      <c r="B1167" t="s">
        <v>117</v>
      </c>
      <c r="C1167" t="s">
        <v>32</v>
      </c>
      <c r="D1167">
        <v>125</v>
      </c>
      <c r="E1167">
        <v>137</v>
      </c>
      <c r="F1167">
        <v>12</v>
      </c>
      <c r="G1167">
        <v>9.6</v>
      </c>
    </row>
    <row r="1168" spans="1:7" x14ac:dyDescent="0.35">
      <c r="A1168" t="s">
        <v>85</v>
      </c>
      <c r="B1168" t="s">
        <v>117</v>
      </c>
      <c r="C1168" t="s">
        <v>32</v>
      </c>
      <c r="D1168">
        <v>124</v>
      </c>
      <c r="E1168">
        <v>141</v>
      </c>
      <c r="F1168">
        <v>17</v>
      </c>
      <c r="G1168">
        <v>13.7</v>
      </c>
    </row>
    <row r="1169" spans="1:7" x14ac:dyDescent="0.35">
      <c r="A1169" t="s">
        <v>86</v>
      </c>
      <c r="B1169" t="s">
        <v>117</v>
      </c>
      <c r="C1169" t="s">
        <v>32</v>
      </c>
      <c r="D1169">
        <v>126</v>
      </c>
      <c r="E1169">
        <v>116</v>
      </c>
      <c r="F1169">
        <v>-10</v>
      </c>
      <c r="G1169">
        <v>-7.9</v>
      </c>
    </row>
    <row r="1170" spans="1:7" x14ac:dyDescent="0.35">
      <c r="A1170" t="s">
        <v>87</v>
      </c>
      <c r="B1170" t="s">
        <v>117</v>
      </c>
      <c r="C1170" t="s">
        <v>32</v>
      </c>
      <c r="D1170">
        <v>119</v>
      </c>
      <c r="E1170">
        <v>103</v>
      </c>
      <c r="F1170">
        <v>-16</v>
      </c>
      <c r="G1170">
        <v>-13.4</v>
      </c>
    </row>
    <row r="1171" spans="1:7" x14ac:dyDescent="0.35">
      <c r="A1171" t="s">
        <v>88</v>
      </c>
      <c r="B1171" t="s">
        <v>117</v>
      </c>
      <c r="C1171" t="s">
        <v>32</v>
      </c>
      <c r="D1171">
        <v>134</v>
      </c>
      <c r="E1171">
        <v>129</v>
      </c>
      <c r="F1171">
        <v>-5</v>
      </c>
      <c r="G1171">
        <v>-3.7</v>
      </c>
    </row>
    <row r="1172" spans="1:7" x14ac:dyDescent="0.35">
      <c r="A1172" t="s">
        <v>89</v>
      </c>
      <c r="B1172" t="s">
        <v>117</v>
      </c>
      <c r="C1172" t="s">
        <v>32</v>
      </c>
      <c r="D1172">
        <v>145</v>
      </c>
      <c r="E1172">
        <v>120</v>
      </c>
      <c r="F1172">
        <v>-25</v>
      </c>
      <c r="G1172">
        <v>-17.2</v>
      </c>
    </row>
    <row r="1173" spans="1:7" x14ac:dyDescent="0.35">
      <c r="A1173" t="s">
        <v>90</v>
      </c>
      <c r="B1173" t="s">
        <v>117</v>
      </c>
      <c r="C1173" t="s">
        <v>32</v>
      </c>
      <c r="D1173">
        <v>132</v>
      </c>
      <c r="E1173">
        <v>127</v>
      </c>
      <c r="F1173">
        <v>-5</v>
      </c>
      <c r="G1173">
        <v>-3.8</v>
      </c>
    </row>
    <row r="1174" spans="1:7" x14ac:dyDescent="0.35">
      <c r="A1174" t="s">
        <v>91</v>
      </c>
      <c r="B1174" t="s">
        <v>117</v>
      </c>
      <c r="C1174" t="s">
        <v>32</v>
      </c>
      <c r="D1174">
        <v>127</v>
      </c>
      <c r="E1174">
        <v>127</v>
      </c>
      <c r="F1174">
        <v>0</v>
      </c>
      <c r="G1174">
        <v>0</v>
      </c>
    </row>
    <row r="1175" spans="1:7" x14ac:dyDescent="0.35">
      <c r="A1175" t="s">
        <v>92</v>
      </c>
      <c r="B1175" t="s">
        <v>117</v>
      </c>
      <c r="C1175" t="s">
        <v>32</v>
      </c>
      <c r="D1175">
        <v>139</v>
      </c>
      <c r="E1175">
        <v>117</v>
      </c>
      <c r="F1175">
        <v>-22</v>
      </c>
      <c r="G1175">
        <v>-15.8</v>
      </c>
    </row>
    <row r="1176" spans="1:7" x14ac:dyDescent="0.35">
      <c r="A1176" t="s">
        <v>93</v>
      </c>
      <c r="B1176" t="s">
        <v>117</v>
      </c>
      <c r="C1176" t="s">
        <v>32</v>
      </c>
      <c r="D1176">
        <v>147</v>
      </c>
      <c r="E1176">
        <v>164</v>
      </c>
      <c r="F1176">
        <v>17</v>
      </c>
      <c r="G1176">
        <v>11.6</v>
      </c>
    </row>
    <row r="1177" spans="1:7" x14ac:dyDescent="0.35">
      <c r="A1177" t="s">
        <v>94</v>
      </c>
      <c r="B1177" t="s">
        <v>117</v>
      </c>
      <c r="C1177" t="s">
        <v>32</v>
      </c>
      <c r="D1177">
        <v>157</v>
      </c>
      <c r="E1177">
        <v>151</v>
      </c>
      <c r="F1177">
        <v>-6</v>
      </c>
      <c r="G1177">
        <v>-3.8</v>
      </c>
    </row>
    <row r="1178" spans="1:7" x14ac:dyDescent="0.35">
      <c r="A1178" t="s">
        <v>95</v>
      </c>
      <c r="B1178" t="s">
        <v>117</v>
      </c>
      <c r="C1178" t="s">
        <v>32</v>
      </c>
      <c r="D1178">
        <v>152</v>
      </c>
      <c r="E1178">
        <v>134</v>
      </c>
      <c r="F1178">
        <v>-18</v>
      </c>
      <c r="G1178">
        <v>-11.8</v>
      </c>
    </row>
    <row r="1179" spans="1:7" x14ac:dyDescent="0.35">
      <c r="A1179" t="s">
        <v>96</v>
      </c>
      <c r="B1179" t="s">
        <v>117</v>
      </c>
      <c r="C1179" t="s">
        <v>32</v>
      </c>
      <c r="D1179">
        <v>142</v>
      </c>
      <c r="E1179">
        <v>121</v>
      </c>
      <c r="F1179">
        <v>-21</v>
      </c>
      <c r="G1179">
        <v>-14.8</v>
      </c>
    </row>
    <row r="1180" spans="1:7" x14ac:dyDescent="0.35">
      <c r="A1180" t="s">
        <v>97</v>
      </c>
      <c r="B1180" t="s">
        <v>117</v>
      </c>
      <c r="C1180" t="s">
        <v>32</v>
      </c>
      <c r="D1180">
        <v>149</v>
      </c>
      <c r="E1180">
        <v>125</v>
      </c>
      <c r="F1180">
        <v>-24</v>
      </c>
      <c r="G1180">
        <v>-16.100000000000001</v>
      </c>
    </row>
    <row r="1181" spans="1:7" x14ac:dyDescent="0.35">
      <c r="A1181" t="s">
        <v>98</v>
      </c>
      <c r="B1181" t="s">
        <v>117</v>
      </c>
      <c r="C1181" t="s">
        <v>32</v>
      </c>
      <c r="D1181">
        <v>151</v>
      </c>
      <c r="E1181">
        <v>162</v>
      </c>
      <c r="F1181">
        <v>11</v>
      </c>
      <c r="G1181">
        <v>7.3</v>
      </c>
    </row>
    <row r="1182" spans="1:7" x14ac:dyDescent="0.35">
      <c r="A1182" t="s">
        <v>99</v>
      </c>
      <c r="B1182" t="s">
        <v>117</v>
      </c>
      <c r="C1182" t="s">
        <v>32</v>
      </c>
      <c r="D1182">
        <v>160</v>
      </c>
      <c r="E1182">
        <v>151</v>
      </c>
      <c r="F1182">
        <v>-9</v>
      </c>
      <c r="G1182">
        <v>-5.6</v>
      </c>
    </row>
    <row r="1183" spans="1:7" x14ac:dyDescent="0.35">
      <c r="A1183" t="s">
        <v>100</v>
      </c>
      <c r="B1183" t="s">
        <v>117</v>
      </c>
      <c r="C1183" t="s">
        <v>32</v>
      </c>
      <c r="D1183">
        <v>160</v>
      </c>
      <c r="E1183">
        <v>163</v>
      </c>
      <c r="F1183">
        <v>3</v>
      </c>
      <c r="G1183">
        <v>1.9</v>
      </c>
    </row>
    <row r="1184" spans="1:7" x14ac:dyDescent="0.35">
      <c r="A1184" t="s">
        <v>101</v>
      </c>
      <c r="B1184" t="s">
        <v>117</v>
      </c>
      <c r="C1184" t="s">
        <v>32</v>
      </c>
      <c r="D1184">
        <v>176</v>
      </c>
      <c r="E1184">
        <v>198</v>
      </c>
      <c r="F1184">
        <v>22</v>
      </c>
      <c r="G1184">
        <v>12.5</v>
      </c>
    </row>
    <row r="1185" spans="1:7" x14ac:dyDescent="0.35">
      <c r="A1185" t="s">
        <v>102</v>
      </c>
      <c r="B1185" t="s">
        <v>117</v>
      </c>
      <c r="C1185" t="s">
        <v>32</v>
      </c>
      <c r="D1185">
        <v>154</v>
      </c>
      <c r="E1185">
        <v>137</v>
      </c>
      <c r="F1185">
        <v>-17</v>
      </c>
      <c r="G1185">
        <v>-11</v>
      </c>
    </row>
    <row r="1186" spans="1:7" x14ac:dyDescent="0.35">
      <c r="A1186" t="s">
        <v>103</v>
      </c>
      <c r="B1186" t="s">
        <v>117</v>
      </c>
      <c r="C1186" t="s">
        <v>32</v>
      </c>
      <c r="D1186">
        <v>160</v>
      </c>
      <c r="E1186">
        <v>141</v>
      </c>
      <c r="F1186">
        <v>-19</v>
      </c>
      <c r="G1186">
        <v>-11.9</v>
      </c>
    </row>
    <row r="1187" spans="1:7" x14ac:dyDescent="0.35">
      <c r="A1187" t="s">
        <v>104</v>
      </c>
      <c r="B1187" t="s">
        <v>117</v>
      </c>
      <c r="C1187" t="s">
        <v>32</v>
      </c>
      <c r="D1187">
        <v>179</v>
      </c>
      <c r="E1187">
        <v>178</v>
      </c>
      <c r="F1187">
        <v>-1</v>
      </c>
      <c r="G1187">
        <v>-0.6</v>
      </c>
    </row>
    <row r="1188" spans="1:7" x14ac:dyDescent="0.35">
      <c r="A1188" t="s">
        <v>105</v>
      </c>
      <c r="B1188" t="s">
        <v>117</v>
      </c>
      <c r="C1188" t="s">
        <v>32</v>
      </c>
      <c r="D1188">
        <v>180</v>
      </c>
      <c r="E1188">
        <v>205</v>
      </c>
      <c r="F1188">
        <v>25</v>
      </c>
      <c r="G1188">
        <v>13.9</v>
      </c>
    </row>
    <row r="1189" spans="1:7" x14ac:dyDescent="0.35">
      <c r="A1189" t="s">
        <v>106</v>
      </c>
      <c r="B1189" t="s">
        <v>117</v>
      </c>
      <c r="C1189" t="s">
        <v>32</v>
      </c>
      <c r="D1189">
        <v>167</v>
      </c>
      <c r="E1189">
        <v>142</v>
      </c>
      <c r="F1189">
        <v>-25</v>
      </c>
      <c r="G1189">
        <v>-15</v>
      </c>
    </row>
    <row r="1190" spans="1:7" x14ac:dyDescent="0.35">
      <c r="A1190" t="s">
        <v>107</v>
      </c>
      <c r="B1190" t="s">
        <v>117</v>
      </c>
      <c r="C1190" t="s">
        <v>32</v>
      </c>
      <c r="D1190">
        <v>164</v>
      </c>
      <c r="E1190">
        <v>173</v>
      </c>
      <c r="F1190">
        <v>9</v>
      </c>
      <c r="G1190">
        <v>5.5</v>
      </c>
    </row>
    <row r="1191" spans="1:7" x14ac:dyDescent="0.35">
      <c r="A1191" t="s">
        <v>108</v>
      </c>
      <c r="B1191" t="s">
        <v>117</v>
      </c>
      <c r="C1191" t="s">
        <v>32</v>
      </c>
      <c r="D1191">
        <v>173</v>
      </c>
      <c r="E1191">
        <v>160</v>
      </c>
      <c r="F1191">
        <v>-13</v>
      </c>
      <c r="G1191">
        <v>-7.5</v>
      </c>
    </row>
    <row r="1192" spans="1:7" x14ac:dyDescent="0.35">
      <c r="A1192" t="s">
        <v>109</v>
      </c>
      <c r="B1192" t="s">
        <v>117</v>
      </c>
      <c r="C1192" t="s">
        <v>32</v>
      </c>
      <c r="D1192">
        <v>167</v>
      </c>
      <c r="E1192">
        <v>185</v>
      </c>
      <c r="F1192">
        <v>18</v>
      </c>
      <c r="G1192">
        <v>10.8</v>
      </c>
    </row>
    <row r="1193" spans="1:7" x14ac:dyDescent="0.35">
      <c r="A1193" t="s">
        <v>110</v>
      </c>
      <c r="B1193" t="s">
        <v>117</v>
      </c>
      <c r="C1193" t="s">
        <v>32</v>
      </c>
      <c r="D1193">
        <v>166</v>
      </c>
      <c r="E1193">
        <v>140</v>
      </c>
      <c r="F1193">
        <v>-26</v>
      </c>
      <c r="G1193">
        <v>-15.7</v>
      </c>
    </row>
    <row r="1194" spans="1:7" x14ac:dyDescent="0.35">
      <c r="A1194" t="s">
        <v>111</v>
      </c>
      <c r="B1194" t="s">
        <v>117</v>
      </c>
      <c r="C1194" t="s">
        <v>32</v>
      </c>
      <c r="D1194">
        <v>170</v>
      </c>
      <c r="E1194">
        <v>192</v>
      </c>
      <c r="F1194">
        <v>22</v>
      </c>
      <c r="G1194">
        <v>12.9</v>
      </c>
    </row>
    <row r="1195" spans="1:7" x14ac:dyDescent="0.35">
      <c r="A1195" t="s">
        <v>112</v>
      </c>
      <c r="B1195" t="s">
        <v>117</v>
      </c>
      <c r="C1195" t="s">
        <v>32</v>
      </c>
      <c r="D1195">
        <v>158</v>
      </c>
      <c r="E1195">
        <v>128</v>
      </c>
      <c r="F1195">
        <v>-30</v>
      </c>
      <c r="G1195">
        <v>-19</v>
      </c>
    </row>
    <row r="1196" spans="1:7" x14ac:dyDescent="0.35">
      <c r="A1196" t="s">
        <v>113</v>
      </c>
      <c r="B1196" t="s">
        <v>117</v>
      </c>
      <c r="C1196" t="s">
        <v>32</v>
      </c>
      <c r="D1196">
        <v>158</v>
      </c>
      <c r="E1196">
        <v>150</v>
      </c>
      <c r="F1196">
        <v>-8</v>
      </c>
      <c r="G1196">
        <v>-5.0999999999999996</v>
      </c>
    </row>
    <row r="1197" spans="1:7" x14ac:dyDescent="0.35">
      <c r="A1197" t="s">
        <v>114</v>
      </c>
      <c r="B1197" t="s">
        <v>117</v>
      </c>
      <c r="C1197" t="s">
        <v>32</v>
      </c>
      <c r="D1197">
        <v>177</v>
      </c>
      <c r="E1197">
        <v>173</v>
      </c>
      <c r="F1197">
        <v>-4</v>
      </c>
      <c r="G1197">
        <v>-2.2999999999999998</v>
      </c>
    </row>
    <row r="1198" spans="1:7" x14ac:dyDescent="0.35">
      <c r="A1198" t="s">
        <v>62</v>
      </c>
      <c r="B1198" t="s">
        <v>117</v>
      </c>
      <c r="C1198" t="s">
        <v>37</v>
      </c>
      <c r="D1198">
        <v>67</v>
      </c>
      <c r="E1198">
        <v>53</v>
      </c>
      <c r="F1198">
        <v>-14</v>
      </c>
      <c r="G1198">
        <v>-20.9</v>
      </c>
    </row>
    <row r="1199" spans="1:7" x14ac:dyDescent="0.35">
      <c r="A1199" t="s">
        <v>64</v>
      </c>
      <c r="B1199" t="s">
        <v>117</v>
      </c>
      <c r="C1199" t="s">
        <v>37</v>
      </c>
      <c r="D1199">
        <v>63</v>
      </c>
      <c r="E1199">
        <v>78</v>
      </c>
      <c r="F1199">
        <v>15</v>
      </c>
      <c r="G1199">
        <v>23.8</v>
      </c>
    </row>
    <row r="1200" spans="1:7" x14ac:dyDescent="0.35">
      <c r="A1200" t="s">
        <v>65</v>
      </c>
      <c r="B1200" t="s">
        <v>117</v>
      </c>
      <c r="C1200" t="s">
        <v>37</v>
      </c>
      <c r="D1200">
        <v>75</v>
      </c>
      <c r="E1200">
        <v>66</v>
      </c>
      <c r="F1200">
        <v>-9</v>
      </c>
      <c r="G1200">
        <v>-12</v>
      </c>
    </row>
    <row r="1201" spans="1:7" x14ac:dyDescent="0.35">
      <c r="A1201" t="s">
        <v>66</v>
      </c>
      <c r="B1201" t="s">
        <v>117</v>
      </c>
      <c r="C1201" t="s">
        <v>37</v>
      </c>
      <c r="D1201">
        <v>78</v>
      </c>
      <c r="E1201">
        <v>56</v>
      </c>
      <c r="F1201">
        <v>-22</v>
      </c>
      <c r="G1201">
        <v>-28.2</v>
      </c>
    </row>
    <row r="1202" spans="1:7" x14ac:dyDescent="0.35">
      <c r="A1202" t="s">
        <v>67</v>
      </c>
      <c r="B1202" t="s">
        <v>117</v>
      </c>
      <c r="C1202" t="s">
        <v>37</v>
      </c>
      <c r="D1202">
        <v>79</v>
      </c>
      <c r="E1202">
        <v>78</v>
      </c>
      <c r="F1202">
        <v>-1</v>
      </c>
      <c r="G1202">
        <v>-1.3</v>
      </c>
    </row>
    <row r="1203" spans="1:7" x14ac:dyDescent="0.35">
      <c r="A1203" t="s">
        <v>68</v>
      </c>
      <c r="B1203" t="s">
        <v>117</v>
      </c>
      <c r="C1203" t="s">
        <v>37</v>
      </c>
      <c r="D1203">
        <v>86</v>
      </c>
      <c r="E1203">
        <v>63</v>
      </c>
      <c r="F1203">
        <v>-23</v>
      </c>
      <c r="G1203">
        <v>-26.7</v>
      </c>
    </row>
    <row r="1204" spans="1:7" x14ac:dyDescent="0.35">
      <c r="A1204" t="s">
        <v>69</v>
      </c>
      <c r="B1204" t="s">
        <v>117</v>
      </c>
      <c r="C1204" t="s">
        <v>37</v>
      </c>
      <c r="D1204">
        <v>86</v>
      </c>
      <c r="E1204">
        <v>91</v>
      </c>
      <c r="F1204">
        <v>5</v>
      </c>
      <c r="G1204">
        <v>5.8</v>
      </c>
    </row>
    <row r="1205" spans="1:7" x14ac:dyDescent="0.35">
      <c r="A1205" t="s">
        <v>70</v>
      </c>
      <c r="B1205" t="s">
        <v>117</v>
      </c>
      <c r="C1205" t="s">
        <v>37</v>
      </c>
      <c r="D1205">
        <v>80</v>
      </c>
      <c r="E1205">
        <v>104</v>
      </c>
      <c r="F1205">
        <v>24</v>
      </c>
      <c r="G1205">
        <v>30</v>
      </c>
    </row>
    <row r="1206" spans="1:7" x14ac:dyDescent="0.35">
      <c r="A1206" t="s">
        <v>71</v>
      </c>
      <c r="B1206" t="s">
        <v>117</v>
      </c>
      <c r="C1206" t="s">
        <v>37</v>
      </c>
      <c r="D1206">
        <v>85</v>
      </c>
      <c r="E1206">
        <v>79</v>
      </c>
      <c r="F1206">
        <v>-6</v>
      </c>
      <c r="G1206">
        <v>-7.1</v>
      </c>
    </row>
    <row r="1207" spans="1:7" x14ac:dyDescent="0.35">
      <c r="A1207" t="s">
        <v>72</v>
      </c>
      <c r="B1207" t="s">
        <v>117</v>
      </c>
      <c r="C1207" t="s">
        <v>37</v>
      </c>
      <c r="D1207">
        <v>94</v>
      </c>
      <c r="E1207">
        <v>86</v>
      </c>
      <c r="F1207">
        <v>-8</v>
      </c>
      <c r="G1207">
        <v>-8.5</v>
      </c>
    </row>
    <row r="1208" spans="1:7" x14ac:dyDescent="0.35">
      <c r="A1208" t="s">
        <v>73</v>
      </c>
      <c r="B1208" t="s">
        <v>117</v>
      </c>
      <c r="C1208" t="s">
        <v>37</v>
      </c>
      <c r="D1208">
        <v>100</v>
      </c>
      <c r="E1208">
        <v>103</v>
      </c>
      <c r="F1208">
        <v>3</v>
      </c>
      <c r="G1208">
        <v>3</v>
      </c>
    </row>
    <row r="1209" spans="1:7" x14ac:dyDescent="0.35">
      <c r="A1209" t="s">
        <v>74</v>
      </c>
      <c r="B1209" t="s">
        <v>117</v>
      </c>
      <c r="C1209" t="s">
        <v>37</v>
      </c>
      <c r="D1209">
        <v>88</v>
      </c>
      <c r="E1209">
        <v>108</v>
      </c>
      <c r="F1209">
        <v>20</v>
      </c>
      <c r="G1209">
        <v>22.7</v>
      </c>
    </row>
    <row r="1210" spans="1:7" x14ac:dyDescent="0.35">
      <c r="A1210" t="s">
        <v>75</v>
      </c>
      <c r="B1210" t="s">
        <v>117</v>
      </c>
      <c r="C1210" t="s">
        <v>37</v>
      </c>
      <c r="D1210">
        <v>97</v>
      </c>
      <c r="E1210">
        <v>89</v>
      </c>
      <c r="F1210">
        <v>-8</v>
      </c>
      <c r="G1210">
        <v>-8.1999999999999993</v>
      </c>
    </row>
    <row r="1211" spans="1:7" x14ac:dyDescent="0.35">
      <c r="A1211" t="s">
        <v>76</v>
      </c>
      <c r="B1211" t="s">
        <v>117</v>
      </c>
      <c r="C1211" t="s">
        <v>37</v>
      </c>
      <c r="D1211">
        <v>102</v>
      </c>
      <c r="E1211">
        <v>105</v>
      </c>
      <c r="F1211">
        <v>3</v>
      </c>
      <c r="G1211">
        <v>2.9</v>
      </c>
    </row>
    <row r="1212" spans="1:7" x14ac:dyDescent="0.35">
      <c r="A1212" t="s">
        <v>77</v>
      </c>
      <c r="B1212" t="s">
        <v>117</v>
      </c>
      <c r="C1212" t="s">
        <v>37</v>
      </c>
      <c r="D1212">
        <v>94</v>
      </c>
      <c r="E1212">
        <v>82</v>
      </c>
      <c r="F1212">
        <v>-12</v>
      </c>
      <c r="G1212">
        <v>-12.8</v>
      </c>
    </row>
    <row r="1213" spans="1:7" x14ac:dyDescent="0.35">
      <c r="A1213" t="s">
        <v>78</v>
      </c>
      <c r="B1213" t="s">
        <v>117</v>
      </c>
      <c r="C1213" t="s">
        <v>37</v>
      </c>
      <c r="D1213">
        <v>97</v>
      </c>
      <c r="E1213">
        <v>88</v>
      </c>
      <c r="F1213">
        <v>-9</v>
      </c>
      <c r="G1213">
        <v>-9.3000000000000007</v>
      </c>
    </row>
    <row r="1214" spans="1:7" x14ac:dyDescent="0.35">
      <c r="A1214" t="s">
        <v>79</v>
      </c>
      <c r="B1214" t="s">
        <v>117</v>
      </c>
      <c r="C1214" t="s">
        <v>37</v>
      </c>
      <c r="D1214">
        <v>96</v>
      </c>
      <c r="E1214">
        <v>98</v>
      </c>
      <c r="F1214">
        <v>2</v>
      </c>
      <c r="G1214">
        <v>2.1</v>
      </c>
    </row>
    <row r="1215" spans="1:7" x14ac:dyDescent="0.35">
      <c r="A1215" t="s">
        <v>80</v>
      </c>
      <c r="B1215" t="s">
        <v>117</v>
      </c>
      <c r="C1215" t="s">
        <v>37</v>
      </c>
      <c r="D1215">
        <v>103</v>
      </c>
      <c r="E1215">
        <v>110</v>
      </c>
      <c r="F1215">
        <v>7</v>
      </c>
      <c r="G1215">
        <v>6.8</v>
      </c>
    </row>
    <row r="1216" spans="1:7" x14ac:dyDescent="0.35">
      <c r="A1216" t="s">
        <v>81</v>
      </c>
      <c r="B1216" t="s">
        <v>117</v>
      </c>
      <c r="C1216" t="s">
        <v>37</v>
      </c>
      <c r="D1216">
        <v>107</v>
      </c>
      <c r="E1216">
        <v>122</v>
      </c>
      <c r="F1216">
        <v>15</v>
      </c>
      <c r="G1216">
        <v>14</v>
      </c>
    </row>
    <row r="1217" spans="1:7" x14ac:dyDescent="0.35">
      <c r="A1217" t="s">
        <v>82</v>
      </c>
      <c r="B1217" t="s">
        <v>117</v>
      </c>
      <c r="C1217" t="s">
        <v>37</v>
      </c>
      <c r="D1217">
        <v>108</v>
      </c>
      <c r="E1217">
        <v>100</v>
      </c>
      <c r="F1217">
        <v>-8</v>
      </c>
      <c r="G1217">
        <v>-7.4</v>
      </c>
    </row>
    <row r="1218" spans="1:7" x14ac:dyDescent="0.35">
      <c r="A1218" t="s">
        <v>83</v>
      </c>
      <c r="B1218" t="s">
        <v>117</v>
      </c>
      <c r="C1218" t="s">
        <v>37</v>
      </c>
      <c r="D1218">
        <v>124</v>
      </c>
      <c r="E1218">
        <v>144</v>
      </c>
      <c r="F1218">
        <v>20</v>
      </c>
      <c r="G1218">
        <v>16.100000000000001</v>
      </c>
    </row>
    <row r="1219" spans="1:7" x14ac:dyDescent="0.35">
      <c r="A1219" t="s">
        <v>84</v>
      </c>
      <c r="B1219" t="s">
        <v>117</v>
      </c>
      <c r="C1219" t="s">
        <v>37</v>
      </c>
      <c r="D1219">
        <v>122</v>
      </c>
      <c r="E1219">
        <v>94</v>
      </c>
      <c r="F1219">
        <v>-28</v>
      </c>
      <c r="G1219">
        <v>-23</v>
      </c>
    </row>
    <row r="1220" spans="1:7" x14ac:dyDescent="0.35">
      <c r="A1220" t="s">
        <v>85</v>
      </c>
      <c r="B1220" t="s">
        <v>117</v>
      </c>
      <c r="C1220" t="s">
        <v>37</v>
      </c>
      <c r="D1220">
        <v>132</v>
      </c>
      <c r="E1220">
        <v>138</v>
      </c>
      <c r="F1220">
        <v>6</v>
      </c>
      <c r="G1220">
        <v>4.5</v>
      </c>
    </row>
    <row r="1221" spans="1:7" x14ac:dyDescent="0.35">
      <c r="A1221" t="s">
        <v>86</v>
      </c>
      <c r="B1221" t="s">
        <v>117</v>
      </c>
      <c r="C1221" t="s">
        <v>37</v>
      </c>
      <c r="D1221">
        <v>134</v>
      </c>
      <c r="E1221">
        <v>154</v>
      </c>
      <c r="F1221">
        <v>20</v>
      </c>
      <c r="G1221">
        <v>14.9</v>
      </c>
    </row>
    <row r="1222" spans="1:7" x14ac:dyDescent="0.35">
      <c r="A1222" t="s">
        <v>87</v>
      </c>
      <c r="B1222" t="s">
        <v>117</v>
      </c>
      <c r="C1222" t="s">
        <v>37</v>
      </c>
      <c r="D1222">
        <v>135</v>
      </c>
      <c r="E1222">
        <v>102</v>
      </c>
      <c r="F1222">
        <v>-33</v>
      </c>
      <c r="G1222">
        <v>-24.4</v>
      </c>
    </row>
    <row r="1223" spans="1:7" x14ac:dyDescent="0.35">
      <c r="A1223" t="s">
        <v>88</v>
      </c>
      <c r="B1223" t="s">
        <v>117</v>
      </c>
      <c r="C1223" t="s">
        <v>37</v>
      </c>
      <c r="D1223">
        <v>138</v>
      </c>
      <c r="E1223">
        <v>112</v>
      </c>
      <c r="F1223">
        <v>-26</v>
      </c>
      <c r="G1223">
        <v>-18.8</v>
      </c>
    </row>
    <row r="1224" spans="1:7" x14ac:dyDescent="0.35">
      <c r="A1224" t="s">
        <v>89</v>
      </c>
      <c r="B1224" t="s">
        <v>117</v>
      </c>
      <c r="C1224" t="s">
        <v>37</v>
      </c>
      <c r="D1224">
        <v>136</v>
      </c>
      <c r="E1224">
        <v>152</v>
      </c>
      <c r="F1224">
        <v>16</v>
      </c>
      <c r="G1224">
        <v>11.8</v>
      </c>
    </row>
    <row r="1225" spans="1:7" x14ac:dyDescent="0.35">
      <c r="A1225" t="s">
        <v>90</v>
      </c>
      <c r="B1225" t="s">
        <v>117</v>
      </c>
      <c r="C1225" t="s">
        <v>37</v>
      </c>
      <c r="D1225">
        <v>140</v>
      </c>
      <c r="E1225">
        <v>145</v>
      </c>
      <c r="F1225">
        <v>5</v>
      </c>
      <c r="G1225">
        <v>3.6</v>
      </c>
    </row>
    <row r="1226" spans="1:7" x14ac:dyDescent="0.35">
      <c r="A1226" t="s">
        <v>91</v>
      </c>
      <c r="B1226" t="s">
        <v>117</v>
      </c>
      <c r="C1226" t="s">
        <v>37</v>
      </c>
      <c r="D1226">
        <v>135</v>
      </c>
      <c r="E1226">
        <v>141</v>
      </c>
      <c r="F1226">
        <v>6</v>
      </c>
      <c r="G1226">
        <v>4.4000000000000004</v>
      </c>
    </row>
    <row r="1227" spans="1:7" x14ac:dyDescent="0.35">
      <c r="A1227" t="s">
        <v>92</v>
      </c>
      <c r="B1227" t="s">
        <v>117</v>
      </c>
      <c r="C1227" t="s">
        <v>37</v>
      </c>
      <c r="D1227">
        <v>132</v>
      </c>
      <c r="E1227">
        <v>132</v>
      </c>
      <c r="F1227">
        <v>0</v>
      </c>
      <c r="G1227">
        <v>0</v>
      </c>
    </row>
    <row r="1228" spans="1:7" x14ac:dyDescent="0.35">
      <c r="A1228" t="s">
        <v>93</v>
      </c>
      <c r="B1228" t="s">
        <v>117</v>
      </c>
      <c r="C1228" t="s">
        <v>37</v>
      </c>
      <c r="D1228">
        <v>139</v>
      </c>
      <c r="E1228">
        <v>150</v>
      </c>
      <c r="F1228">
        <v>11</v>
      </c>
      <c r="G1228">
        <v>7.9</v>
      </c>
    </row>
    <row r="1229" spans="1:7" x14ac:dyDescent="0.35">
      <c r="A1229" t="s">
        <v>94</v>
      </c>
      <c r="B1229" t="s">
        <v>117</v>
      </c>
      <c r="C1229" t="s">
        <v>37</v>
      </c>
      <c r="D1229">
        <v>154</v>
      </c>
      <c r="E1229">
        <v>114</v>
      </c>
      <c r="F1229">
        <v>-40</v>
      </c>
      <c r="G1229">
        <v>-26</v>
      </c>
    </row>
    <row r="1230" spans="1:7" x14ac:dyDescent="0.35">
      <c r="A1230" t="s">
        <v>95</v>
      </c>
      <c r="B1230" t="s">
        <v>117</v>
      </c>
      <c r="C1230" t="s">
        <v>37</v>
      </c>
      <c r="D1230">
        <v>146</v>
      </c>
      <c r="E1230">
        <v>129</v>
      </c>
      <c r="F1230">
        <v>-17</v>
      </c>
      <c r="G1230">
        <v>-11.6</v>
      </c>
    </row>
    <row r="1231" spans="1:7" x14ac:dyDescent="0.35">
      <c r="A1231" t="s">
        <v>96</v>
      </c>
      <c r="B1231" t="s">
        <v>117</v>
      </c>
      <c r="C1231" t="s">
        <v>37</v>
      </c>
      <c r="D1231">
        <v>161</v>
      </c>
      <c r="E1231">
        <v>138</v>
      </c>
      <c r="F1231">
        <v>-23</v>
      </c>
      <c r="G1231">
        <v>-14.3</v>
      </c>
    </row>
    <row r="1232" spans="1:7" x14ac:dyDescent="0.35">
      <c r="A1232" t="s">
        <v>97</v>
      </c>
      <c r="B1232" t="s">
        <v>117</v>
      </c>
      <c r="C1232" t="s">
        <v>37</v>
      </c>
      <c r="D1232">
        <v>164</v>
      </c>
      <c r="E1232">
        <v>138</v>
      </c>
      <c r="F1232">
        <v>-26</v>
      </c>
      <c r="G1232">
        <v>-15.9</v>
      </c>
    </row>
    <row r="1233" spans="1:7" x14ac:dyDescent="0.35">
      <c r="A1233" t="s">
        <v>98</v>
      </c>
      <c r="B1233" t="s">
        <v>117</v>
      </c>
      <c r="C1233" t="s">
        <v>37</v>
      </c>
      <c r="D1233">
        <v>138</v>
      </c>
      <c r="E1233">
        <v>174</v>
      </c>
      <c r="F1233">
        <v>36</v>
      </c>
      <c r="G1233">
        <v>26.1</v>
      </c>
    </row>
    <row r="1234" spans="1:7" x14ac:dyDescent="0.35">
      <c r="A1234" t="s">
        <v>99</v>
      </c>
      <c r="B1234" t="s">
        <v>117</v>
      </c>
      <c r="C1234" t="s">
        <v>37</v>
      </c>
      <c r="D1234">
        <v>163</v>
      </c>
      <c r="E1234">
        <v>174</v>
      </c>
      <c r="F1234">
        <v>11</v>
      </c>
      <c r="G1234">
        <v>6.7</v>
      </c>
    </row>
    <row r="1235" spans="1:7" x14ac:dyDescent="0.35">
      <c r="A1235" t="s">
        <v>100</v>
      </c>
      <c r="B1235" t="s">
        <v>117</v>
      </c>
      <c r="C1235" t="s">
        <v>37</v>
      </c>
      <c r="D1235">
        <v>157</v>
      </c>
      <c r="E1235">
        <v>171</v>
      </c>
      <c r="F1235">
        <v>14</v>
      </c>
      <c r="G1235">
        <v>8.9</v>
      </c>
    </row>
    <row r="1236" spans="1:7" x14ac:dyDescent="0.35">
      <c r="A1236" t="s">
        <v>101</v>
      </c>
      <c r="B1236" t="s">
        <v>117</v>
      </c>
      <c r="C1236" t="s">
        <v>37</v>
      </c>
      <c r="D1236">
        <v>156</v>
      </c>
      <c r="E1236">
        <v>125</v>
      </c>
      <c r="F1236">
        <v>-31</v>
      </c>
      <c r="G1236">
        <v>-19.899999999999999</v>
      </c>
    </row>
    <row r="1237" spans="1:7" x14ac:dyDescent="0.35">
      <c r="A1237" t="s">
        <v>102</v>
      </c>
      <c r="B1237" t="s">
        <v>117</v>
      </c>
      <c r="C1237" t="s">
        <v>37</v>
      </c>
      <c r="D1237">
        <v>164</v>
      </c>
      <c r="E1237">
        <v>140</v>
      </c>
      <c r="F1237">
        <v>-24</v>
      </c>
      <c r="G1237">
        <v>-14.6</v>
      </c>
    </row>
    <row r="1238" spans="1:7" x14ac:dyDescent="0.35">
      <c r="A1238" t="s">
        <v>103</v>
      </c>
      <c r="B1238" t="s">
        <v>117</v>
      </c>
      <c r="C1238" t="s">
        <v>37</v>
      </c>
      <c r="D1238">
        <v>163</v>
      </c>
      <c r="E1238">
        <v>142</v>
      </c>
      <c r="F1238">
        <v>-21</v>
      </c>
      <c r="G1238">
        <v>-12.9</v>
      </c>
    </row>
    <row r="1239" spans="1:7" x14ac:dyDescent="0.35">
      <c r="A1239" t="s">
        <v>104</v>
      </c>
      <c r="B1239" t="s">
        <v>117</v>
      </c>
      <c r="C1239" t="s">
        <v>37</v>
      </c>
      <c r="D1239">
        <v>158</v>
      </c>
      <c r="E1239">
        <v>193</v>
      </c>
      <c r="F1239">
        <v>35</v>
      </c>
      <c r="G1239">
        <v>22.2</v>
      </c>
    </row>
    <row r="1240" spans="1:7" x14ac:dyDescent="0.35">
      <c r="A1240" t="s">
        <v>105</v>
      </c>
      <c r="B1240" t="s">
        <v>117</v>
      </c>
      <c r="C1240" t="s">
        <v>37</v>
      </c>
      <c r="D1240">
        <v>160</v>
      </c>
      <c r="E1240">
        <v>172</v>
      </c>
      <c r="F1240">
        <v>12</v>
      </c>
      <c r="G1240">
        <v>7.5</v>
      </c>
    </row>
    <row r="1241" spans="1:7" x14ac:dyDescent="0.35">
      <c r="A1241" t="s">
        <v>106</v>
      </c>
      <c r="B1241" t="s">
        <v>117</v>
      </c>
      <c r="C1241" t="s">
        <v>37</v>
      </c>
      <c r="D1241">
        <v>168</v>
      </c>
      <c r="E1241">
        <v>164</v>
      </c>
      <c r="F1241">
        <v>-4</v>
      </c>
      <c r="G1241">
        <v>-2.4</v>
      </c>
    </row>
    <row r="1242" spans="1:7" x14ac:dyDescent="0.35">
      <c r="A1242" t="s">
        <v>107</v>
      </c>
      <c r="B1242" t="s">
        <v>117</v>
      </c>
      <c r="C1242" t="s">
        <v>37</v>
      </c>
      <c r="D1242">
        <v>160</v>
      </c>
      <c r="E1242">
        <v>181</v>
      </c>
      <c r="F1242">
        <v>21</v>
      </c>
      <c r="G1242">
        <v>13.1</v>
      </c>
    </row>
    <row r="1243" spans="1:7" x14ac:dyDescent="0.35">
      <c r="A1243" t="s">
        <v>108</v>
      </c>
      <c r="B1243" t="s">
        <v>117</v>
      </c>
      <c r="C1243" t="s">
        <v>37</v>
      </c>
      <c r="D1243">
        <v>151</v>
      </c>
      <c r="E1243">
        <v>132</v>
      </c>
      <c r="F1243">
        <v>-19</v>
      </c>
      <c r="G1243">
        <v>-12.6</v>
      </c>
    </row>
    <row r="1244" spans="1:7" x14ac:dyDescent="0.35">
      <c r="A1244" t="s">
        <v>109</v>
      </c>
      <c r="B1244" t="s">
        <v>117</v>
      </c>
      <c r="C1244" t="s">
        <v>37</v>
      </c>
      <c r="D1244">
        <v>175</v>
      </c>
      <c r="E1244">
        <v>162</v>
      </c>
      <c r="F1244">
        <v>-13</v>
      </c>
      <c r="G1244">
        <v>-7.4</v>
      </c>
    </row>
    <row r="1245" spans="1:7" x14ac:dyDescent="0.35">
      <c r="A1245" t="s">
        <v>110</v>
      </c>
      <c r="B1245" t="s">
        <v>117</v>
      </c>
      <c r="C1245" t="s">
        <v>37</v>
      </c>
      <c r="D1245">
        <v>153</v>
      </c>
      <c r="E1245">
        <v>195</v>
      </c>
      <c r="F1245">
        <v>42</v>
      </c>
      <c r="G1245">
        <v>27.5</v>
      </c>
    </row>
    <row r="1246" spans="1:7" x14ac:dyDescent="0.35">
      <c r="A1246" t="s">
        <v>111</v>
      </c>
      <c r="B1246" t="s">
        <v>117</v>
      </c>
      <c r="C1246" t="s">
        <v>37</v>
      </c>
      <c r="D1246">
        <v>164</v>
      </c>
      <c r="E1246">
        <v>124</v>
      </c>
      <c r="F1246">
        <v>-40</v>
      </c>
      <c r="G1246">
        <v>-24.4</v>
      </c>
    </row>
    <row r="1247" spans="1:7" x14ac:dyDescent="0.35">
      <c r="A1247" t="s">
        <v>112</v>
      </c>
      <c r="B1247" t="s">
        <v>117</v>
      </c>
      <c r="C1247" t="s">
        <v>37</v>
      </c>
      <c r="D1247">
        <v>181</v>
      </c>
      <c r="E1247">
        <v>141</v>
      </c>
      <c r="F1247">
        <v>-40</v>
      </c>
      <c r="G1247">
        <v>-22.1</v>
      </c>
    </row>
    <row r="1248" spans="1:7" x14ac:dyDescent="0.35">
      <c r="A1248" t="s">
        <v>113</v>
      </c>
      <c r="B1248" t="s">
        <v>117</v>
      </c>
      <c r="C1248" t="s">
        <v>37</v>
      </c>
      <c r="D1248">
        <v>172</v>
      </c>
      <c r="E1248">
        <v>135</v>
      </c>
      <c r="F1248">
        <v>-37</v>
      </c>
      <c r="G1248">
        <v>-21.5</v>
      </c>
    </row>
    <row r="1249" spans="1:7" x14ac:dyDescent="0.35">
      <c r="A1249" t="s">
        <v>114</v>
      </c>
      <c r="B1249" t="s">
        <v>117</v>
      </c>
      <c r="C1249" t="s">
        <v>37</v>
      </c>
      <c r="D1249">
        <v>170</v>
      </c>
      <c r="E1249">
        <v>137</v>
      </c>
      <c r="F1249">
        <v>-33</v>
      </c>
      <c r="G1249">
        <v>-19.399999999999999</v>
      </c>
    </row>
    <row r="1250" spans="1:7" x14ac:dyDescent="0.35">
      <c r="A1250" t="s">
        <v>62</v>
      </c>
      <c r="B1250" t="s">
        <v>118</v>
      </c>
      <c r="C1250" t="s">
        <v>8</v>
      </c>
      <c r="D1250">
        <v>40</v>
      </c>
      <c r="E1250">
        <v>40</v>
      </c>
      <c r="F1250">
        <v>0</v>
      </c>
      <c r="G1250">
        <v>0</v>
      </c>
    </row>
    <row r="1251" spans="1:7" x14ac:dyDescent="0.35">
      <c r="A1251" t="s">
        <v>64</v>
      </c>
      <c r="B1251" t="s">
        <v>118</v>
      </c>
      <c r="C1251" t="s">
        <v>8</v>
      </c>
      <c r="D1251">
        <v>41</v>
      </c>
      <c r="E1251">
        <v>49</v>
      </c>
      <c r="F1251">
        <v>8</v>
      </c>
      <c r="G1251">
        <v>19.5</v>
      </c>
    </row>
    <row r="1252" spans="1:7" x14ac:dyDescent="0.35">
      <c r="A1252" t="s">
        <v>65</v>
      </c>
      <c r="B1252" t="s">
        <v>118</v>
      </c>
      <c r="C1252" t="s">
        <v>8</v>
      </c>
      <c r="D1252">
        <v>48</v>
      </c>
      <c r="E1252">
        <v>36</v>
      </c>
      <c r="F1252">
        <v>-12</v>
      </c>
      <c r="G1252">
        <v>-25</v>
      </c>
    </row>
    <row r="1253" spans="1:7" x14ac:dyDescent="0.35">
      <c r="A1253" t="s">
        <v>66</v>
      </c>
      <c r="B1253" t="s">
        <v>118</v>
      </c>
      <c r="C1253" t="s">
        <v>8</v>
      </c>
      <c r="D1253">
        <v>50</v>
      </c>
      <c r="E1253">
        <v>54</v>
      </c>
      <c r="F1253">
        <v>4</v>
      </c>
      <c r="G1253">
        <v>8</v>
      </c>
    </row>
    <row r="1254" spans="1:7" x14ac:dyDescent="0.35">
      <c r="A1254" t="s">
        <v>67</v>
      </c>
      <c r="B1254" t="s">
        <v>118</v>
      </c>
      <c r="C1254" t="s">
        <v>8</v>
      </c>
      <c r="D1254">
        <v>53</v>
      </c>
      <c r="E1254">
        <v>48</v>
      </c>
      <c r="F1254">
        <v>-5</v>
      </c>
      <c r="G1254">
        <v>-9.4</v>
      </c>
    </row>
    <row r="1255" spans="1:7" x14ac:dyDescent="0.35">
      <c r="A1255" t="s">
        <v>68</v>
      </c>
      <c r="B1255" t="s">
        <v>118</v>
      </c>
      <c r="C1255" t="s">
        <v>8</v>
      </c>
      <c r="D1255">
        <v>47</v>
      </c>
      <c r="E1255">
        <v>41</v>
      </c>
      <c r="F1255">
        <v>-6</v>
      </c>
      <c r="G1255">
        <v>-12.8</v>
      </c>
    </row>
    <row r="1256" spans="1:7" x14ac:dyDescent="0.35">
      <c r="A1256" t="s">
        <v>69</v>
      </c>
      <c r="B1256" t="s">
        <v>118</v>
      </c>
      <c r="C1256" t="s">
        <v>8</v>
      </c>
      <c r="D1256">
        <v>50</v>
      </c>
      <c r="E1256">
        <v>42</v>
      </c>
      <c r="F1256">
        <v>-8</v>
      </c>
      <c r="G1256">
        <v>-16</v>
      </c>
    </row>
    <row r="1257" spans="1:7" x14ac:dyDescent="0.35">
      <c r="A1257" t="s">
        <v>70</v>
      </c>
      <c r="B1257" t="s">
        <v>118</v>
      </c>
      <c r="C1257" t="s">
        <v>8</v>
      </c>
      <c r="D1257">
        <v>56</v>
      </c>
      <c r="E1257">
        <v>56</v>
      </c>
      <c r="F1257">
        <v>0</v>
      </c>
      <c r="G1257">
        <v>0</v>
      </c>
    </row>
    <row r="1258" spans="1:7" x14ac:dyDescent="0.35">
      <c r="A1258" t="s">
        <v>71</v>
      </c>
      <c r="B1258" t="s">
        <v>118</v>
      </c>
      <c r="C1258" t="s">
        <v>8</v>
      </c>
      <c r="D1258">
        <v>56</v>
      </c>
      <c r="E1258">
        <v>43</v>
      </c>
      <c r="F1258">
        <v>-13</v>
      </c>
      <c r="G1258">
        <v>-23.2</v>
      </c>
    </row>
    <row r="1259" spans="1:7" x14ac:dyDescent="0.35">
      <c r="A1259" t="s">
        <v>72</v>
      </c>
      <c r="B1259" t="s">
        <v>118</v>
      </c>
      <c r="C1259" t="s">
        <v>8</v>
      </c>
      <c r="D1259">
        <v>57</v>
      </c>
      <c r="E1259">
        <v>47</v>
      </c>
      <c r="F1259">
        <v>-10</v>
      </c>
      <c r="G1259">
        <v>-17.5</v>
      </c>
    </row>
    <row r="1260" spans="1:7" x14ac:dyDescent="0.35">
      <c r="A1260" t="s">
        <v>73</v>
      </c>
      <c r="B1260" t="s">
        <v>118</v>
      </c>
      <c r="C1260" t="s">
        <v>8</v>
      </c>
      <c r="D1260">
        <v>64</v>
      </c>
      <c r="E1260">
        <v>66</v>
      </c>
      <c r="F1260">
        <v>2</v>
      </c>
      <c r="G1260">
        <v>3.1</v>
      </c>
    </row>
    <row r="1261" spans="1:7" x14ac:dyDescent="0.35">
      <c r="A1261" t="s">
        <v>74</v>
      </c>
      <c r="B1261" t="s">
        <v>118</v>
      </c>
      <c r="C1261" t="s">
        <v>8</v>
      </c>
      <c r="D1261">
        <v>61</v>
      </c>
      <c r="E1261">
        <v>53</v>
      </c>
      <c r="F1261">
        <v>-8</v>
      </c>
      <c r="G1261">
        <v>-13.1</v>
      </c>
    </row>
    <row r="1262" spans="1:7" x14ac:dyDescent="0.35">
      <c r="A1262" t="s">
        <v>75</v>
      </c>
      <c r="B1262" t="s">
        <v>118</v>
      </c>
      <c r="C1262" t="s">
        <v>8</v>
      </c>
      <c r="D1262">
        <v>58</v>
      </c>
      <c r="E1262">
        <v>73</v>
      </c>
      <c r="F1262">
        <v>15</v>
      </c>
      <c r="G1262">
        <v>25.9</v>
      </c>
    </row>
    <row r="1263" spans="1:7" x14ac:dyDescent="0.35">
      <c r="A1263" t="s">
        <v>76</v>
      </c>
      <c r="B1263" t="s">
        <v>118</v>
      </c>
      <c r="C1263" t="s">
        <v>8</v>
      </c>
      <c r="D1263">
        <v>60</v>
      </c>
      <c r="E1263">
        <v>61</v>
      </c>
      <c r="F1263">
        <v>1</v>
      </c>
      <c r="G1263">
        <v>1.7</v>
      </c>
    </row>
    <row r="1264" spans="1:7" x14ac:dyDescent="0.35">
      <c r="A1264" t="s">
        <v>77</v>
      </c>
      <c r="B1264" t="s">
        <v>118</v>
      </c>
      <c r="C1264" t="s">
        <v>8</v>
      </c>
      <c r="D1264">
        <v>64</v>
      </c>
      <c r="E1264">
        <v>63</v>
      </c>
      <c r="F1264">
        <v>-1</v>
      </c>
      <c r="G1264">
        <v>-1.6</v>
      </c>
    </row>
    <row r="1265" spans="1:7" x14ac:dyDescent="0.35">
      <c r="A1265" t="s">
        <v>78</v>
      </c>
      <c r="B1265" t="s">
        <v>118</v>
      </c>
      <c r="C1265" t="s">
        <v>8</v>
      </c>
      <c r="D1265">
        <v>73</v>
      </c>
      <c r="E1265">
        <v>81</v>
      </c>
      <c r="F1265">
        <v>8</v>
      </c>
      <c r="G1265">
        <v>11</v>
      </c>
    </row>
    <row r="1266" spans="1:7" x14ac:dyDescent="0.35">
      <c r="A1266" t="s">
        <v>79</v>
      </c>
      <c r="B1266" t="s">
        <v>118</v>
      </c>
      <c r="C1266" t="s">
        <v>8</v>
      </c>
      <c r="D1266">
        <v>72</v>
      </c>
      <c r="E1266">
        <v>76</v>
      </c>
      <c r="F1266">
        <v>4</v>
      </c>
      <c r="G1266">
        <v>5.6</v>
      </c>
    </row>
    <row r="1267" spans="1:7" x14ac:dyDescent="0.35">
      <c r="A1267" t="s">
        <v>80</v>
      </c>
      <c r="B1267" t="s">
        <v>118</v>
      </c>
      <c r="C1267" t="s">
        <v>8</v>
      </c>
      <c r="D1267">
        <v>65</v>
      </c>
      <c r="E1267">
        <v>74</v>
      </c>
      <c r="F1267">
        <v>9</v>
      </c>
      <c r="G1267">
        <v>13.8</v>
      </c>
    </row>
    <row r="1268" spans="1:7" x14ac:dyDescent="0.35">
      <c r="A1268" t="s">
        <v>81</v>
      </c>
      <c r="B1268" t="s">
        <v>118</v>
      </c>
      <c r="C1268" t="s">
        <v>8</v>
      </c>
      <c r="D1268">
        <v>75</v>
      </c>
      <c r="E1268">
        <v>61</v>
      </c>
      <c r="F1268">
        <v>-14</v>
      </c>
      <c r="G1268">
        <v>-18.7</v>
      </c>
    </row>
    <row r="1269" spans="1:7" x14ac:dyDescent="0.35">
      <c r="A1269" t="s">
        <v>82</v>
      </c>
      <c r="B1269" t="s">
        <v>118</v>
      </c>
      <c r="C1269" t="s">
        <v>8</v>
      </c>
      <c r="D1269">
        <v>73</v>
      </c>
      <c r="E1269">
        <v>64</v>
      </c>
      <c r="F1269">
        <v>-9</v>
      </c>
      <c r="G1269">
        <v>-12.3</v>
      </c>
    </row>
    <row r="1270" spans="1:7" x14ac:dyDescent="0.35">
      <c r="A1270" t="s">
        <v>83</v>
      </c>
      <c r="B1270" t="s">
        <v>118</v>
      </c>
      <c r="C1270" t="s">
        <v>8</v>
      </c>
      <c r="D1270">
        <v>80</v>
      </c>
      <c r="E1270">
        <v>41</v>
      </c>
      <c r="F1270">
        <v>-39</v>
      </c>
      <c r="G1270">
        <v>-48.8</v>
      </c>
    </row>
    <row r="1271" spans="1:7" x14ac:dyDescent="0.35">
      <c r="A1271" t="s">
        <v>84</v>
      </c>
      <c r="B1271" t="s">
        <v>118</v>
      </c>
      <c r="C1271" t="s">
        <v>8</v>
      </c>
      <c r="D1271">
        <v>80</v>
      </c>
      <c r="E1271">
        <v>34</v>
      </c>
      <c r="F1271">
        <v>-46</v>
      </c>
      <c r="G1271">
        <v>-57.5</v>
      </c>
    </row>
    <row r="1272" spans="1:7" x14ac:dyDescent="0.35">
      <c r="A1272" t="s">
        <v>85</v>
      </c>
      <c r="B1272" t="s">
        <v>118</v>
      </c>
      <c r="C1272" t="s">
        <v>8</v>
      </c>
      <c r="D1272">
        <v>75</v>
      </c>
      <c r="E1272">
        <v>43</v>
      </c>
      <c r="F1272">
        <v>-32</v>
      </c>
      <c r="G1272">
        <v>-42.7</v>
      </c>
    </row>
    <row r="1273" spans="1:7" x14ac:dyDescent="0.35">
      <c r="A1273" t="s">
        <v>86</v>
      </c>
      <c r="B1273" t="s">
        <v>118</v>
      </c>
      <c r="C1273" t="s">
        <v>8</v>
      </c>
      <c r="D1273">
        <v>76</v>
      </c>
      <c r="E1273">
        <v>29</v>
      </c>
      <c r="F1273">
        <v>-47</v>
      </c>
      <c r="G1273">
        <v>-61.8</v>
      </c>
    </row>
    <row r="1274" spans="1:7" x14ac:dyDescent="0.35">
      <c r="A1274" t="s">
        <v>87</v>
      </c>
      <c r="B1274" t="s">
        <v>118</v>
      </c>
      <c r="C1274" t="s">
        <v>8</v>
      </c>
      <c r="D1274">
        <v>87</v>
      </c>
      <c r="E1274">
        <v>34</v>
      </c>
      <c r="F1274">
        <v>-53</v>
      </c>
      <c r="G1274">
        <v>-60.9</v>
      </c>
    </row>
    <row r="1275" spans="1:7" x14ac:dyDescent="0.35">
      <c r="A1275" t="s">
        <v>88</v>
      </c>
      <c r="B1275" t="s">
        <v>118</v>
      </c>
      <c r="C1275" t="s">
        <v>8</v>
      </c>
      <c r="D1275">
        <v>84</v>
      </c>
      <c r="E1275">
        <v>97</v>
      </c>
      <c r="F1275">
        <v>13</v>
      </c>
      <c r="G1275">
        <v>15.5</v>
      </c>
    </row>
    <row r="1276" spans="1:7" x14ac:dyDescent="0.35">
      <c r="A1276" t="s">
        <v>89</v>
      </c>
      <c r="B1276" t="s">
        <v>118</v>
      </c>
      <c r="C1276" t="s">
        <v>8</v>
      </c>
      <c r="D1276">
        <v>82</v>
      </c>
      <c r="E1276">
        <v>93</v>
      </c>
      <c r="F1276">
        <v>11</v>
      </c>
      <c r="G1276">
        <v>13.4</v>
      </c>
    </row>
    <row r="1277" spans="1:7" x14ac:dyDescent="0.35">
      <c r="A1277" t="s">
        <v>90</v>
      </c>
      <c r="B1277" t="s">
        <v>118</v>
      </c>
      <c r="C1277" t="s">
        <v>8</v>
      </c>
      <c r="D1277">
        <v>84</v>
      </c>
      <c r="E1277">
        <v>93</v>
      </c>
      <c r="F1277">
        <v>9</v>
      </c>
      <c r="G1277">
        <v>10.7</v>
      </c>
    </row>
    <row r="1278" spans="1:7" x14ac:dyDescent="0.35">
      <c r="A1278" t="s">
        <v>91</v>
      </c>
      <c r="B1278" t="s">
        <v>118</v>
      </c>
      <c r="C1278" t="s">
        <v>8</v>
      </c>
      <c r="D1278">
        <v>94</v>
      </c>
      <c r="E1278">
        <v>80</v>
      </c>
      <c r="F1278">
        <v>-14</v>
      </c>
      <c r="G1278">
        <v>-14.9</v>
      </c>
    </row>
    <row r="1279" spans="1:7" x14ac:dyDescent="0.35">
      <c r="A1279" t="s">
        <v>92</v>
      </c>
      <c r="B1279" t="s">
        <v>118</v>
      </c>
      <c r="C1279" t="s">
        <v>8</v>
      </c>
      <c r="D1279">
        <v>99</v>
      </c>
      <c r="E1279">
        <v>70</v>
      </c>
      <c r="F1279">
        <v>-29</v>
      </c>
      <c r="G1279">
        <v>-29.3</v>
      </c>
    </row>
    <row r="1280" spans="1:7" x14ac:dyDescent="0.35">
      <c r="A1280" t="s">
        <v>93</v>
      </c>
      <c r="B1280" t="s">
        <v>118</v>
      </c>
      <c r="C1280" t="s">
        <v>8</v>
      </c>
      <c r="D1280">
        <v>99</v>
      </c>
      <c r="E1280">
        <v>111</v>
      </c>
      <c r="F1280">
        <v>12</v>
      </c>
      <c r="G1280">
        <v>12.1</v>
      </c>
    </row>
    <row r="1281" spans="1:7" x14ac:dyDescent="0.35">
      <c r="A1281" t="s">
        <v>94</v>
      </c>
      <c r="B1281" t="s">
        <v>118</v>
      </c>
      <c r="C1281" t="s">
        <v>8</v>
      </c>
      <c r="D1281">
        <v>89</v>
      </c>
      <c r="E1281">
        <v>100</v>
      </c>
      <c r="F1281">
        <v>11</v>
      </c>
      <c r="G1281">
        <v>12.4</v>
      </c>
    </row>
    <row r="1282" spans="1:7" x14ac:dyDescent="0.35">
      <c r="A1282" t="s">
        <v>95</v>
      </c>
      <c r="B1282" t="s">
        <v>118</v>
      </c>
      <c r="C1282" t="s">
        <v>8</v>
      </c>
      <c r="D1282">
        <v>90</v>
      </c>
      <c r="E1282">
        <v>91</v>
      </c>
      <c r="F1282">
        <v>1</v>
      </c>
      <c r="G1282">
        <v>1.1000000000000001</v>
      </c>
    </row>
    <row r="1283" spans="1:7" x14ac:dyDescent="0.35">
      <c r="A1283" t="s">
        <v>96</v>
      </c>
      <c r="B1283" t="s">
        <v>118</v>
      </c>
      <c r="C1283" t="s">
        <v>8</v>
      </c>
      <c r="D1283">
        <v>101</v>
      </c>
      <c r="E1283">
        <v>112</v>
      </c>
      <c r="F1283">
        <v>11</v>
      </c>
      <c r="G1283">
        <v>10.9</v>
      </c>
    </row>
    <row r="1284" spans="1:7" x14ac:dyDescent="0.35">
      <c r="A1284" t="s">
        <v>97</v>
      </c>
      <c r="B1284" t="s">
        <v>118</v>
      </c>
      <c r="C1284" t="s">
        <v>8</v>
      </c>
      <c r="D1284">
        <v>105</v>
      </c>
      <c r="E1284">
        <v>87</v>
      </c>
      <c r="F1284">
        <v>-18</v>
      </c>
      <c r="G1284">
        <v>-17.100000000000001</v>
      </c>
    </row>
    <row r="1285" spans="1:7" x14ac:dyDescent="0.35">
      <c r="A1285" t="s">
        <v>98</v>
      </c>
      <c r="B1285" t="s">
        <v>118</v>
      </c>
      <c r="C1285" t="s">
        <v>8</v>
      </c>
      <c r="D1285">
        <v>99</v>
      </c>
      <c r="E1285">
        <v>88</v>
      </c>
      <c r="F1285">
        <v>-11</v>
      </c>
      <c r="G1285">
        <v>-11.1</v>
      </c>
    </row>
    <row r="1286" spans="1:7" x14ac:dyDescent="0.35">
      <c r="A1286" t="s">
        <v>99</v>
      </c>
      <c r="B1286" t="s">
        <v>118</v>
      </c>
      <c r="C1286" t="s">
        <v>8</v>
      </c>
      <c r="D1286">
        <v>106</v>
      </c>
      <c r="E1286">
        <v>81</v>
      </c>
      <c r="F1286">
        <v>-25</v>
      </c>
      <c r="G1286">
        <v>-23.6</v>
      </c>
    </row>
    <row r="1287" spans="1:7" x14ac:dyDescent="0.35">
      <c r="A1287" t="s">
        <v>100</v>
      </c>
      <c r="B1287" t="s">
        <v>118</v>
      </c>
      <c r="C1287" t="s">
        <v>8</v>
      </c>
      <c r="D1287">
        <v>113</v>
      </c>
      <c r="E1287">
        <v>79</v>
      </c>
      <c r="F1287">
        <v>-34</v>
      </c>
      <c r="G1287">
        <v>-30.1</v>
      </c>
    </row>
    <row r="1288" spans="1:7" x14ac:dyDescent="0.35">
      <c r="A1288" t="s">
        <v>101</v>
      </c>
      <c r="B1288" t="s">
        <v>118</v>
      </c>
      <c r="C1288" t="s">
        <v>8</v>
      </c>
      <c r="D1288">
        <v>103</v>
      </c>
      <c r="E1288">
        <v>96</v>
      </c>
      <c r="F1288">
        <v>-7</v>
      </c>
      <c r="G1288">
        <v>-6.8</v>
      </c>
    </row>
    <row r="1289" spans="1:7" x14ac:dyDescent="0.35">
      <c r="A1289" t="s">
        <v>102</v>
      </c>
      <c r="B1289" t="s">
        <v>118</v>
      </c>
      <c r="C1289" t="s">
        <v>8</v>
      </c>
      <c r="D1289">
        <v>105</v>
      </c>
      <c r="E1289">
        <v>126</v>
      </c>
      <c r="F1289">
        <v>21</v>
      </c>
      <c r="G1289">
        <v>20</v>
      </c>
    </row>
    <row r="1290" spans="1:7" x14ac:dyDescent="0.35">
      <c r="A1290" t="s">
        <v>103</v>
      </c>
      <c r="B1290" t="s">
        <v>118</v>
      </c>
      <c r="C1290" t="s">
        <v>8</v>
      </c>
      <c r="D1290">
        <v>108</v>
      </c>
      <c r="E1290">
        <v>112</v>
      </c>
      <c r="F1290">
        <v>4</v>
      </c>
      <c r="G1290">
        <v>3.7</v>
      </c>
    </row>
    <row r="1291" spans="1:7" x14ac:dyDescent="0.35">
      <c r="A1291" t="s">
        <v>104</v>
      </c>
      <c r="B1291" t="s">
        <v>118</v>
      </c>
      <c r="C1291" t="s">
        <v>8</v>
      </c>
      <c r="D1291">
        <v>102</v>
      </c>
      <c r="E1291">
        <v>108</v>
      </c>
      <c r="F1291">
        <v>6</v>
      </c>
      <c r="G1291">
        <v>5.9</v>
      </c>
    </row>
    <row r="1292" spans="1:7" x14ac:dyDescent="0.35">
      <c r="A1292" t="s">
        <v>105</v>
      </c>
      <c r="B1292" t="s">
        <v>118</v>
      </c>
      <c r="C1292" t="s">
        <v>8</v>
      </c>
      <c r="D1292">
        <v>120</v>
      </c>
      <c r="E1292">
        <v>86</v>
      </c>
      <c r="F1292">
        <v>-34</v>
      </c>
      <c r="G1292">
        <v>-28.3</v>
      </c>
    </row>
    <row r="1293" spans="1:7" x14ac:dyDescent="0.35">
      <c r="A1293" t="s">
        <v>106</v>
      </c>
      <c r="B1293" t="s">
        <v>118</v>
      </c>
      <c r="C1293" t="s">
        <v>8</v>
      </c>
      <c r="D1293">
        <v>111</v>
      </c>
      <c r="E1293">
        <v>83</v>
      </c>
      <c r="F1293">
        <v>-28</v>
      </c>
      <c r="G1293">
        <v>-25.2</v>
      </c>
    </row>
    <row r="1294" spans="1:7" x14ac:dyDescent="0.35">
      <c r="A1294" t="s">
        <v>107</v>
      </c>
      <c r="B1294" t="s">
        <v>118</v>
      </c>
      <c r="C1294" t="s">
        <v>8</v>
      </c>
      <c r="D1294">
        <v>103</v>
      </c>
      <c r="E1294">
        <v>133</v>
      </c>
      <c r="F1294">
        <v>30</v>
      </c>
      <c r="G1294">
        <v>29.1</v>
      </c>
    </row>
    <row r="1295" spans="1:7" x14ac:dyDescent="0.35">
      <c r="A1295" t="s">
        <v>108</v>
      </c>
      <c r="B1295" t="s">
        <v>118</v>
      </c>
      <c r="C1295" t="s">
        <v>8</v>
      </c>
      <c r="D1295">
        <v>119</v>
      </c>
      <c r="E1295">
        <v>104</v>
      </c>
      <c r="F1295">
        <v>-15</v>
      </c>
      <c r="G1295">
        <v>-12.6</v>
      </c>
    </row>
    <row r="1296" spans="1:7" x14ac:dyDescent="0.35">
      <c r="A1296" t="s">
        <v>109</v>
      </c>
      <c r="B1296" t="s">
        <v>118</v>
      </c>
      <c r="C1296" t="s">
        <v>8</v>
      </c>
      <c r="D1296">
        <v>105</v>
      </c>
      <c r="E1296">
        <v>121</v>
      </c>
      <c r="F1296">
        <v>16</v>
      </c>
      <c r="G1296">
        <v>15.2</v>
      </c>
    </row>
    <row r="1297" spans="1:7" x14ac:dyDescent="0.35">
      <c r="A1297" t="s">
        <v>110</v>
      </c>
      <c r="B1297" t="s">
        <v>118</v>
      </c>
      <c r="C1297" t="s">
        <v>8</v>
      </c>
      <c r="D1297">
        <v>115</v>
      </c>
      <c r="E1297">
        <v>105</v>
      </c>
      <c r="F1297">
        <v>-10</v>
      </c>
      <c r="G1297">
        <v>-8.6999999999999993</v>
      </c>
    </row>
    <row r="1298" spans="1:7" x14ac:dyDescent="0.35">
      <c r="A1298" t="s">
        <v>111</v>
      </c>
      <c r="B1298" t="s">
        <v>118</v>
      </c>
      <c r="C1298" t="s">
        <v>8</v>
      </c>
      <c r="D1298">
        <v>107</v>
      </c>
      <c r="E1298">
        <v>117</v>
      </c>
      <c r="F1298">
        <v>10</v>
      </c>
      <c r="G1298">
        <v>9.3000000000000007</v>
      </c>
    </row>
    <row r="1299" spans="1:7" x14ac:dyDescent="0.35">
      <c r="A1299" t="s">
        <v>112</v>
      </c>
      <c r="B1299" t="s">
        <v>118</v>
      </c>
      <c r="C1299" t="s">
        <v>8</v>
      </c>
      <c r="D1299">
        <v>110</v>
      </c>
      <c r="E1299">
        <v>90</v>
      </c>
      <c r="F1299">
        <v>-20</v>
      </c>
      <c r="G1299">
        <v>-18.2</v>
      </c>
    </row>
    <row r="1300" spans="1:7" x14ac:dyDescent="0.35">
      <c r="A1300" t="s">
        <v>113</v>
      </c>
      <c r="B1300" t="s">
        <v>118</v>
      </c>
      <c r="C1300" t="s">
        <v>8</v>
      </c>
      <c r="D1300">
        <v>100</v>
      </c>
      <c r="E1300">
        <v>86</v>
      </c>
      <c r="F1300">
        <v>-14</v>
      </c>
      <c r="G1300">
        <v>-14</v>
      </c>
    </row>
    <row r="1301" spans="1:7" x14ac:dyDescent="0.35">
      <c r="A1301" t="s">
        <v>114</v>
      </c>
      <c r="B1301" t="s">
        <v>118</v>
      </c>
      <c r="C1301" t="s">
        <v>8</v>
      </c>
      <c r="D1301">
        <v>119</v>
      </c>
      <c r="E1301">
        <v>136</v>
      </c>
      <c r="F1301">
        <v>17</v>
      </c>
      <c r="G1301">
        <v>14.3</v>
      </c>
    </row>
    <row r="1302" spans="1:7" x14ac:dyDescent="0.35">
      <c r="A1302" t="s">
        <v>62</v>
      </c>
      <c r="B1302" t="s">
        <v>118</v>
      </c>
      <c r="C1302" t="s">
        <v>14</v>
      </c>
      <c r="D1302">
        <v>31</v>
      </c>
      <c r="E1302">
        <v>29</v>
      </c>
      <c r="F1302">
        <v>-2</v>
      </c>
      <c r="G1302">
        <v>-6.5</v>
      </c>
    </row>
    <row r="1303" spans="1:7" x14ac:dyDescent="0.35">
      <c r="A1303" t="s">
        <v>64</v>
      </c>
      <c r="B1303" t="s">
        <v>118</v>
      </c>
      <c r="C1303" t="s">
        <v>14</v>
      </c>
      <c r="D1303">
        <v>33</v>
      </c>
      <c r="E1303">
        <v>38</v>
      </c>
      <c r="F1303">
        <v>5</v>
      </c>
      <c r="G1303">
        <v>15.2</v>
      </c>
    </row>
    <row r="1304" spans="1:7" x14ac:dyDescent="0.35">
      <c r="A1304" t="s">
        <v>65</v>
      </c>
      <c r="B1304" t="s">
        <v>118</v>
      </c>
      <c r="C1304" t="s">
        <v>14</v>
      </c>
      <c r="D1304">
        <v>35</v>
      </c>
      <c r="E1304">
        <v>26</v>
      </c>
      <c r="F1304">
        <v>-9</v>
      </c>
      <c r="G1304">
        <v>-25.7</v>
      </c>
    </row>
    <row r="1305" spans="1:7" x14ac:dyDescent="0.35">
      <c r="A1305" t="s">
        <v>66</v>
      </c>
      <c r="B1305" t="s">
        <v>118</v>
      </c>
      <c r="C1305" t="s">
        <v>14</v>
      </c>
      <c r="D1305">
        <v>36</v>
      </c>
      <c r="E1305">
        <v>39</v>
      </c>
      <c r="F1305">
        <v>3</v>
      </c>
      <c r="G1305">
        <v>8.3000000000000007</v>
      </c>
    </row>
    <row r="1306" spans="1:7" x14ac:dyDescent="0.35">
      <c r="A1306" t="s">
        <v>67</v>
      </c>
      <c r="B1306" t="s">
        <v>118</v>
      </c>
      <c r="C1306" t="s">
        <v>14</v>
      </c>
      <c r="D1306">
        <v>38</v>
      </c>
      <c r="E1306">
        <v>28</v>
      </c>
      <c r="F1306">
        <v>-10</v>
      </c>
      <c r="G1306">
        <v>-26.3</v>
      </c>
    </row>
    <row r="1307" spans="1:7" x14ac:dyDescent="0.35">
      <c r="A1307" t="s">
        <v>68</v>
      </c>
      <c r="B1307" t="s">
        <v>118</v>
      </c>
      <c r="C1307" t="s">
        <v>14</v>
      </c>
      <c r="D1307">
        <v>34</v>
      </c>
      <c r="E1307">
        <v>36</v>
      </c>
      <c r="F1307">
        <v>2</v>
      </c>
      <c r="G1307">
        <v>5.9</v>
      </c>
    </row>
    <row r="1308" spans="1:7" x14ac:dyDescent="0.35">
      <c r="A1308" t="s">
        <v>69</v>
      </c>
      <c r="B1308" t="s">
        <v>118</v>
      </c>
      <c r="C1308" t="s">
        <v>14</v>
      </c>
      <c r="D1308">
        <v>38</v>
      </c>
      <c r="E1308">
        <v>40</v>
      </c>
      <c r="F1308">
        <v>2</v>
      </c>
      <c r="G1308">
        <v>5.3</v>
      </c>
    </row>
    <row r="1309" spans="1:7" x14ac:dyDescent="0.35">
      <c r="A1309" t="s">
        <v>70</v>
      </c>
      <c r="B1309" t="s">
        <v>118</v>
      </c>
      <c r="C1309" t="s">
        <v>14</v>
      </c>
      <c r="D1309">
        <v>38</v>
      </c>
      <c r="E1309">
        <v>44</v>
      </c>
      <c r="F1309">
        <v>6</v>
      </c>
      <c r="G1309">
        <v>15.8</v>
      </c>
    </row>
    <row r="1310" spans="1:7" x14ac:dyDescent="0.35">
      <c r="A1310" t="s">
        <v>71</v>
      </c>
      <c r="B1310" t="s">
        <v>118</v>
      </c>
      <c r="C1310" t="s">
        <v>14</v>
      </c>
      <c r="D1310">
        <v>43</v>
      </c>
      <c r="E1310">
        <v>33</v>
      </c>
      <c r="F1310">
        <v>-10</v>
      </c>
      <c r="G1310">
        <v>-23.3</v>
      </c>
    </row>
    <row r="1311" spans="1:7" x14ac:dyDescent="0.35">
      <c r="A1311" t="s">
        <v>72</v>
      </c>
      <c r="B1311" t="s">
        <v>118</v>
      </c>
      <c r="C1311" t="s">
        <v>14</v>
      </c>
      <c r="D1311">
        <v>44</v>
      </c>
      <c r="E1311">
        <v>46</v>
      </c>
      <c r="F1311">
        <v>2</v>
      </c>
      <c r="G1311">
        <v>4.5</v>
      </c>
    </row>
    <row r="1312" spans="1:7" x14ac:dyDescent="0.35">
      <c r="A1312" t="s">
        <v>73</v>
      </c>
      <c r="B1312" t="s">
        <v>118</v>
      </c>
      <c r="C1312" t="s">
        <v>14</v>
      </c>
      <c r="D1312">
        <v>40</v>
      </c>
      <c r="E1312">
        <v>53</v>
      </c>
      <c r="F1312">
        <v>13</v>
      </c>
      <c r="G1312">
        <v>32.5</v>
      </c>
    </row>
    <row r="1313" spans="1:7" x14ac:dyDescent="0.35">
      <c r="A1313" t="s">
        <v>74</v>
      </c>
      <c r="B1313" t="s">
        <v>118</v>
      </c>
      <c r="C1313" t="s">
        <v>14</v>
      </c>
      <c r="D1313">
        <v>44</v>
      </c>
      <c r="E1313">
        <v>50</v>
      </c>
      <c r="F1313">
        <v>6</v>
      </c>
      <c r="G1313">
        <v>13.6</v>
      </c>
    </row>
    <row r="1314" spans="1:7" x14ac:dyDescent="0.35">
      <c r="A1314" t="s">
        <v>75</v>
      </c>
      <c r="B1314" t="s">
        <v>118</v>
      </c>
      <c r="C1314" t="s">
        <v>14</v>
      </c>
      <c r="D1314">
        <v>47</v>
      </c>
      <c r="E1314">
        <v>38</v>
      </c>
      <c r="F1314">
        <v>-9</v>
      </c>
      <c r="G1314">
        <v>-19.100000000000001</v>
      </c>
    </row>
    <row r="1315" spans="1:7" x14ac:dyDescent="0.35">
      <c r="A1315" t="s">
        <v>76</v>
      </c>
      <c r="B1315" t="s">
        <v>118</v>
      </c>
      <c r="C1315" t="s">
        <v>14</v>
      </c>
      <c r="D1315">
        <v>43</v>
      </c>
      <c r="E1315">
        <v>53</v>
      </c>
      <c r="F1315">
        <v>10</v>
      </c>
      <c r="G1315">
        <v>23.3</v>
      </c>
    </row>
    <row r="1316" spans="1:7" x14ac:dyDescent="0.35">
      <c r="A1316" t="s">
        <v>77</v>
      </c>
      <c r="B1316" t="s">
        <v>118</v>
      </c>
      <c r="C1316" t="s">
        <v>14</v>
      </c>
      <c r="D1316">
        <v>45</v>
      </c>
      <c r="E1316">
        <v>57</v>
      </c>
      <c r="F1316">
        <v>12</v>
      </c>
      <c r="G1316">
        <v>26.7</v>
      </c>
    </row>
    <row r="1317" spans="1:7" x14ac:dyDescent="0.35">
      <c r="A1317" t="s">
        <v>78</v>
      </c>
      <c r="B1317" t="s">
        <v>118</v>
      </c>
      <c r="C1317" t="s">
        <v>14</v>
      </c>
      <c r="D1317">
        <v>52</v>
      </c>
      <c r="E1317">
        <v>37</v>
      </c>
      <c r="F1317">
        <v>-15</v>
      </c>
      <c r="G1317">
        <v>-28.8</v>
      </c>
    </row>
    <row r="1318" spans="1:7" x14ac:dyDescent="0.35">
      <c r="A1318" t="s">
        <v>79</v>
      </c>
      <c r="B1318" t="s">
        <v>118</v>
      </c>
      <c r="C1318" t="s">
        <v>14</v>
      </c>
      <c r="D1318">
        <v>53</v>
      </c>
      <c r="E1318">
        <v>44</v>
      </c>
      <c r="F1318">
        <v>-9</v>
      </c>
      <c r="G1318">
        <v>-17</v>
      </c>
    </row>
    <row r="1319" spans="1:7" x14ac:dyDescent="0.35">
      <c r="A1319" t="s">
        <v>80</v>
      </c>
      <c r="B1319" t="s">
        <v>118</v>
      </c>
      <c r="C1319" t="s">
        <v>14</v>
      </c>
      <c r="D1319">
        <v>47</v>
      </c>
      <c r="E1319">
        <v>57</v>
      </c>
      <c r="F1319">
        <v>10</v>
      </c>
      <c r="G1319">
        <v>21.3</v>
      </c>
    </row>
    <row r="1320" spans="1:7" x14ac:dyDescent="0.35">
      <c r="A1320" t="s">
        <v>81</v>
      </c>
      <c r="B1320" t="s">
        <v>118</v>
      </c>
      <c r="C1320" t="s">
        <v>14</v>
      </c>
      <c r="D1320">
        <v>53</v>
      </c>
      <c r="E1320">
        <v>41</v>
      </c>
      <c r="F1320">
        <v>-12</v>
      </c>
      <c r="G1320">
        <v>-22.6</v>
      </c>
    </row>
    <row r="1321" spans="1:7" x14ac:dyDescent="0.35">
      <c r="A1321" t="s">
        <v>82</v>
      </c>
      <c r="B1321" t="s">
        <v>118</v>
      </c>
      <c r="C1321" t="s">
        <v>14</v>
      </c>
      <c r="D1321">
        <v>53</v>
      </c>
      <c r="E1321">
        <v>50</v>
      </c>
      <c r="F1321">
        <v>-3</v>
      </c>
      <c r="G1321">
        <v>-5.7</v>
      </c>
    </row>
    <row r="1322" spans="1:7" x14ac:dyDescent="0.35">
      <c r="A1322" t="s">
        <v>83</v>
      </c>
      <c r="B1322" t="s">
        <v>118</v>
      </c>
      <c r="C1322" t="s">
        <v>14</v>
      </c>
      <c r="D1322">
        <v>55</v>
      </c>
      <c r="E1322">
        <v>25</v>
      </c>
      <c r="F1322">
        <v>-30</v>
      </c>
      <c r="G1322">
        <v>-54.5</v>
      </c>
    </row>
    <row r="1323" spans="1:7" x14ac:dyDescent="0.35">
      <c r="A1323" t="s">
        <v>84</v>
      </c>
      <c r="B1323" t="s">
        <v>118</v>
      </c>
      <c r="C1323" t="s">
        <v>14</v>
      </c>
      <c r="D1323">
        <v>54</v>
      </c>
      <c r="E1323">
        <v>22</v>
      </c>
      <c r="F1323">
        <v>-32</v>
      </c>
      <c r="G1323">
        <v>-59.3</v>
      </c>
    </row>
    <row r="1324" spans="1:7" x14ac:dyDescent="0.35">
      <c r="A1324" t="s">
        <v>85</v>
      </c>
      <c r="B1324" t="s">
        <v>118</v>
      </c>
      <c r="C1324" t="s">
        <v>14</v>
      </c>
      <c r="D1324">
        <v>53</v>
      </c>
      <c r="E1324">
        <v>26</v>
      </c>
      <c r="F1324">
        <v>-27</v>
      </c>
      <c r="G1324">
        <v>-50.9</v>
      </c>
    </row>
    <row r="1325" spans="1:7" x14ac:dyDescent="0.35">
      <c r="A1325" t="s">
        <v>86</v>
      </c>
      <c r="B1325" t="s">
        <v>118</v>
      </c>
      <c r="C1325" t="s">
        <v>14</v>
      </c>
      <c r="D1325">
        <v>61</v>
      </c>
      <c r="E1325">
        <v>22</v>
      </c>
      <c r="F1325">
        <v>-39</v>
      </c>
      <c r="G1325">
        <v>-63.9</v>
      </c>
    </row>
    <row r="1326" spans="1:7" x14ac:dyDescent="0.35">
      <c r="A1326" t="s">
        <v>87</v>
      </c>
      <c r="B1326" t="s">
        <v>118</v>
      </c>
      <c r="C1326" t="s">
        <v>14</v>
      </c>
      <c r="D1326">
        <v>60</v>
      </c>
      <c r="E1326">
        <v>20</v>
      </c>
      <c r="F1326">
        <v>-40</v>
      </c>
      <c r="G1326">
        <v>-66.7</v>
      </c>
    </row>
    <row r="1327" spans="1:7" x14ac:dyDescent="0.35">
      <c r="A1327" t="s">
        <v>88</v>
      </c>
      <c r="B1327" t="s">
        <v>118</v>
      </c>
      <c r="C1327" t="s">
        <v>14</v>
      </c>
      <c r="D1327">
        <v>65</v>
      </c>
      <c r="E1327">
        <v>53</v>
      </c>
      <c r="F1327">
        <v>-12</v>
      </c>
      <c r="G1327">
        <v>-18.5</v>
      </c>
    </row>
    <row r="1328" spans="1:7" x14ac:dyDescent="0.35">
      <c r="A1328" t="s">
        <v>89</v>
      </c>
      <c r="B1328" t="s">
        <v>118</v>
      </c>
      <c r="C1328" t="s">
        <v>14</v>
      </c>
      <c r="D1328">
        <v>62</v>
      </c>
      <c r="E1328">
        <v>58</v>
      </c>
      <c r="F1328">
        <v>-4</v>
      </c>
      <c r="G1328">
        <v>-6.5</v>
      </c>
    </row>
    <row r="1329" spans="1:7" x14ac:dyDescent="0.35">
      <c r="A1329" t="s">
        <v>90</v>
      </c>
      <c r="B1329" t="s">
        <v>118</v>
      </c>
      <c r="C1329" t="s">
        <v>14</v>
      </c>
      <c r="D1329">
        <v>59</v>
      </c>
      <c r="E1329">
        <v>77</v>
      </c>
      <c r="F1329">
        <v>18</v>
      </c>
      <c r="G1329">
        <v>30.5</v>
      </c>
    </row>
    <row r="1330" spans="1:7" x14ac:dyDescent="0.35">
      <c r="A1330" t="s">
        <v>91</v>
      </c>
      <c r="B1330" t="s">
        <v>118</v>
      </c>
      <c r="C1330" t="s">
        <v>14</v>
      </c>
      <c r="D1330">
        <v>69</v>
      </c>
      <c r="E1330">
        <v>66</v>
      </c>
      <c r="F1330">
        <v>-3</v>
      </c>
      <c r="G1330">
        <v>-4.3</v>
      </c>
    </row>
    <row r="1331" spans="1:7" x14ac:dyDescent="0.35">
      <c r="A1331" t="s">
        <v>92</v>
      </c>
      <c r="B1331" t="s">
        <v>118</v>
      </c>
      <c r="C1331" t="s">
        <v>14</v>
      </c>
      <c r="D1331">
        <v>71</v>
      </c>
      <c r="E1331">
        <v>73</v>
      </c>
      <c r="F1331">
        <v>2</v>
      </c>
      <c r="G1331">
        <v>2.8</v>
      </c>
    </row>
    <row r="1332" spans="1:7" x14ac:dyDescent="0.35">
      <c r="A1332" t="s">
        <v>93</v>
      </c>
      <c r="B1332" t="s">
        <v>118</v>
      </c>
      <c r="C1332" t="s">
        <v>14</v>
      </c>
      <c r="D1332">
        <v>66</v>
      </c>
      <c r="E1332">
        <v>61</v>
      </c>
      <c r="F1332">
        <v>-5</v>
      </c>
      <c r="G1332">
        <v>-7.6</v>
      </c>
    </row>
    <row r="1333" spans="1:7" x14ac:dyDescent="0.35">
      <c r="A1333" t="s">
        <v>94</v>
      </c>
      <c r="B1333" t="s">
        <v>118</v>
      </c>
      <c r="C1333" t="s">
        <v>14</v>
      </c>
      <c r="D1333">
        <v>67</v>
      </c>
      <c r="E1333">
        <v>75</v>
      </c>
      <c r="F1333">
        <v>8</v>
      </c>
      <c r="G1333">
        <v>11.9</v>
      </c>
    </row>
    <row r="1334" spans="1:7" x14ac:dyDescent="0.35">
      <c r="A1334" t="s">
        <v>95</v>
      </c>
      <c r="B1334" t="s">
        <v>118</v>
      </c>
      <c r="C1334" t="s">
        <v>14</v>
      </c>
      <c r="D1334">
        <v>66</v>
      </c>
      <c r="E1334">
        <v>54</v>
      </c>
      <c r="F1334">
        <v>-12</v>
      </c>
      <c r="G1334">
        <v>-18.2</v>
      </c>
    </row>
    <row r="1335" spans="1:7" x14ac:dyDescent="0.35">
      <c r="A1335" t="s">
        <v>96</v>
      </c>
      <c r="B1335" t="s">
        <v>118</v>
      </c>
      <c r="C1335" t="s">
        <v>14</v>
      </c>
      <c r="D1335">
        <v>68</v>
      </c>
      <c r="E1335">
        <v>70</v>
      </c>
      <c r="F1335">
        <v>2</v>
      </c>
      <c r="G1335">
        <v>2.9</v>
      </c>
    </row>
    <row r="1336" spans="1:7" x14ac:dyDescent="0.35">
      <c r="A1336" t="s">
        <v>97</v>
      </c>
      <c r="B1336" t="s">
        <v>118</v>
      </c>
      <c r="C1336" t="s">
        <v>14</v>
      </c>
      <c r="D1336">
        <v>77</v>
      </c>
      <c r="E1336">
        <v>60</v>
      </c>
      <c r="F1336">
        <v>-17</v>
      </c>
      <c r="G1336">
        <v>-22.1</v>
      </c>
    </row>
    <row r="1337" spans="1:7" x14ac:dyDescent="0.35">
      <c r="A1337" t="s">
        <v>98</v>
      </c>
      <c r="B1337" t="s">
        <v>118</v>
      </c>
      <c r="C1337" t="s">
        <v>14</v>
      </c>
      <c r="D1337">
        <v>77</v>
      </c>
      <c r="E1337">
        <v>90</v>
      </c>
      <c r="F1337">
        <v>13</v>
      </c>
      <c r="G1337">
        <v>16.899999999999999</v>
      </c>
    </row>
    <row r="1338" spans="1:7" x14ac:dyDescent="0.35">
      <c r="A1338" t="s">
        <v>99</v>
      </c>
      <c r="B1338" t="s">
        <v>118</v>
      </c>
      <c r="C1338" t="s">
        <v>14</v>
      </c>
      <c r="D1338">
        <v>81</v>
      </c>
      <c r="E1338">
        <v>58</v>
      </c>
      <c r="F1338">
        <v>-23</v>
      </c>
      <c r="G1338">
        <v>-28.4</v>
      </c>
    </row>
    <row r="1339" spans="1:7" x14ac:dyDescent="0.35">
      <c r="A1339" t="s">
        <v>100</v>
      </c>
      <c r="B1339" t="s">
        <v>118</v>
      </c>
      <c r="C1339" t="s">
        <v>14</v>
      </c>
      <c r="D1339">
        <v>74</v>
      </c>
      <c r="E1339">
        <v>67</v>
      </c>
      <c r="F1339">
        <v>-7</v>
      </c>
      <c r="G1339">
        <v>-9.5</v>
      </c>
    </row>
    <row r="1340" spans="1:7" x14ac:dyDescent="0.35">
      <c r="A1340" t="s">
        <v>101</v>
      </c>
      <c r="B1340" t="s">
        <v>118</v>
      </c>
      <c r="C1340" t="s">
        <v>14</v>
      </c>
      <c r="D1340">
        <v>81</v>
      </c>
      <c r="E1340">
        <v>70</v>
      </c>
      <c r="F1340">
        <v>-11</v>
      </c>
      <c r="G1340">
        <v>-13.6</v>
      </c>
    </row>
    <row r="1341" spans="1:7" x14ac:dyDescent="0.35">
      <c r="A1341" t="s">
        <v>102</v>
      </c>
      <c r="B1341" t="s">
        <v>118</v>
      </c>
      <c r="C1341" t="s">
        <v>14</v>
      </c>
      <c r="D1341">
        <v>78</v>
      </c>
      <c r="E1341">
        <v>58</v>
      </c>
      <c r="F1341">
        <v>-20</v>
      </c>
      <c r="G1341">
        <v>-25.6</v>
      </c>
    </row>
    <row r="1342" spans="1:7" x14ac:dyDescent="0.35">
      <c r="A1342" t="s">
        <v>103</v>
      </c>
      <c r="B1342" t="s">
        <v>118</v>
      </c>
      <c r="C1342" t="s">
        <v>14</v>
      </c>
      <c r="D1342">
        <v>74</v>
      </c>
      <c r="E1342">
        <v>81</v>
      </c>
      <c r="F1342">
        <v>7</v>
      </c>
      <c r="G1342">
        <v>9.5</v>
      </c>
    </row>
    <row r="1343" spans="1:7" x14ac:dyDescent="0.35">
      <c r="A1343" t="s">
        <v>104</v>
      </c>
      <c r="B1343" t="s">
        <v>118</v>
      </c>
      <c r="C1343" t="s">
        <v>14</v>
      </c>
      <c r="D1343">
        <v>75</v>
      </c>
      <c r="E1343">
        <v>83</v>
      </c>
      <c r="F1343">
        <v>8</v>
      </c>
      <c r="G1343">
        <v>10.7</v>
      </c>
    </row>
    <row r="1344" spans="1:7" x14ac:dyDescent="0.35">
      <c r="A1344" t="s">
        <v>105</v>
      </c>
      <c r="B1344" t="s">
        <v>118</v>
      </c>
      <c r="C1344" t="s">
        <v>14</v>
      </c>
      <c r="D1344">
        <v>78</v>
      </c>
      <c r="E1344">
        <v>82</v>
      </c>
      <c r="F1344">
        <v>4</v>
      </c>
      <c r="G1344">
        <v>5.0999999999999996</v>
      </c>
    </row>
    <row r="1345" spans="1:7" x14ac:dyDescent="0.35">
      <c r="A1345" t="s">
        <v>106</v>
      </c>
      <c r="B1345" t="s">
        <v>118</v>
      </c>
      <c r="C1345" t="s">
        <v>14</v>
      </c>
      <c r="D1345">
        <v>78</v>
      </c>
      <c r="E1345">
        <v>89</v>
      </c>
      <c r="F1345">
        <v>11</v>
      </c>
      <c r="G1345">
        <v>14.1</v>
      </c>
    </row>
    <row r="1346" spans="1:7" x14ac:dyDescent="0.35">
      <c r="A1346" t="s">
        <v>107</v>
      </c>
      <c r="B1346" t="s">
        <v>118</v>
      </c>
      <c r="C1346" t="s">
        <v>14</v>
      </c>
      <c r="D1346">
        <v>74</v>
      </c>
      <c r="E1346">
        <v>94</v>
      </c>
      <c r="F1346">
        <v>20</v>
      </c>
      <c r="G1346">
        <v>27</v>
      </c>
    </row>
    <row r="1347" spans="1:7" x14ac:dyDescent="0.35">
      <c r="A1347" t="s">
        <v>108</v>
      </c>
      <c r="B1347" t="s">
        <v>118</v>
      </c>
      <c r="C1347" t="s">
        <v>14</v>
      </c>
      <c r="D1347">
        <v>83</v>
      </c>
      <c r="E1347">
        <v>68</v>
      </c>
      <c r="F1347">
        <v>-15</v>
      </c>
      <c r="G1347">
        <v>-18.100000000000001</v>
      </c>
    </row>
    <row r="1348" spans="1:7" x14ac:dyDescent="0.35">
      <c r="A1348" t="s">
        <v>109</v>
      </c>
      <c r="B1348" t="s">
        <v>118</v>
      </c>
      <c r="C1348" t="s">
        <v>14</v>
      </c>
      <c r="D1348">
        <v>71</v>
      </c>
      <c r="E1348">
        <v>75</v>
      </c>
      <c r="F1348">
        <v>4</v>
      </c>
      <c r="G1348">
        <v>5.6</v>
      </c>
    </row>
    <row r="1349" spans="1:7" x14ac:dyDescent="0.35">
      <c r="A1349" t="s">
        <v>110</v>
      </c>
      <c r="B1349" t="s">
        <v>118</v>
      </c>
      <c r="C1349" t="s">
        <v>14</v>
      </c>
      <c r="D1349">
        <v>74</v>
      </c>
      <c r="E1349">
        <v>72</v>
      </c>
      <c r="F1349">
        <v>-2</v>
      </c>
      <c r="G1349">
        <v>-2.7</v>
      </c>
    </row>
    <row r="1350" spans="1:7" x14ac:dyDescent="0.35">
      <c r="A1350" t="s">
        <v>111</v>
      </c>
      <c r="B1350" t="s">
        <v>118</v>
      </c>
      <c r="C1350" t="s">
        <v>14</v>
      </c>
      <c r="D1350">
        <v>84</v>
      </c>
      <c r="E1350">
        <v>93</v>
      </c>
      <c r="F1350">
        <v>9</v>
      </c>
      <c r="G1350">
        <v>10.7</v>
      </c>
    </row>
    <row r="1351" spans="1:7" x14ac:dyDescent="0.35">
      <c r="A1351" t="s">
        <v>112</v>
      </c>
      <c r="B1351" t="s">
        <v>118</v>
      </c>
      <c r="C1351" t="s">
        <v>14</v>
      </c>
      <c r="D1351">
        <v>86</v>
      </c>
      <c r="E1351">
        <v>59</v>
      </c>
      <c r="F1351">
        <v>-27</v>
      </c>
      <c r="G1351">
        <v>-31.4</v>
      </c>
    </row>
    <row r="1352" spans="1:7" x14ac:dyDescent="0.35">
      <c r="A1352" t="s">
        <v>113</v>
      </c>
      <c r="B1352" t="s">
        <v>118</v>
      </c>
      <c r="C1352" t="s">
        <v>14</v>
      </c>
      <c r="D1352">
        <v>81</v>
      </c>
      <c r="E1352">
        <v>92</v>
      </c>
      <c r="F1352">
        <v>11</v>
      </c>
      <c r="G1352">
        <v>13.6</v>
      </c>
    </row>
    <row r="1353" spans="1:7" x14ac:dyDescent="0.35">
      <c r="A1353" t="s">
        <v>114</v>
      </c>
      <c r="B1353" t="s">
        <v>118</v>
      </c>
      <c r="C1353" t="s">
        <v>14</v>
      </c>
      <c r="D1353">
        <v>82</v>
      </c>
      <c r="E1353">
        <v>63</v>
      </c>
      <c r="F1353">
        <v>-19</v>
      </c>
      <c r="G1353">
        <v>-23.2</v>
      </c>
    </row>
    <row r="1354" spans="1:7" x14ac:dyDescent="0.35">
      <c r="A1354" t="s">
        <v>62</v>
      </c>
      <c r="B1354" t="s">
        <v>118</v>
      </c>
      <c r="C1354" t="s">
        <v>22</v>
      </c>
      <c r="D1354">
        <v>76</v>
      </c>
      <c r="E1354">
        <v>67</v>
      </c>
      <c r="F1354">
        <v>-9</v>
      </c>
      <c r="G1354">
        <v>-11.8</v>
      </c>
    </row>
    <row r="1355" spans="1:7" x14ac:dyDescent="0.35">
      <c r="A1355" t="s">
        <v>64</v>
      </c>
      <c r="B1355" t="s">
        <v>118</v>
      </c>
      <c r="C1355" t="s">
        <v>22</v>
      </c>
      <c r="D1355">
        <v>79</v>
      </c>
      <c r="E1355">
        <v>89</v>
      </c>
      <c r="F1355">
        <v>10</v>
      </c>
      <c r="G1355">
        <v>12.7</v>
      </c>
    </row>
    <row r="1356" spans="1:7" x14ac:dyDescent="0.35">
      <c r="A1356" t="s">
        <v>65</v>
      </c>
      <c r="B1356" t="s">
        <v>118</v>
      </c>
      <c r="C1356" t="s">
        <v>22</v>
      </c>
      <c r="D1356">
        <v>69</v>
      </c>
      <c r="E1356">
        <v>66</v>
      </c>
      <c r="F1356">
        <v>-3</v>
      </c>
      <c r="G1356">
        <v>-4.3</v>
      </c>
    </row>
    <row r="1357" spans="1:7" x14ac:dyDescent="0.35">
      <c r="A1357" t="s">
        <v>66</v>
      </c>
      <c r="B1357" t="s">
        <v>118</v>
      </c>
      <c r="C1357" t="s">
        <v>22</v>
      </c>
      <c r="D1357">
        <v>70</v>
      </c>
      <c r="E1357">
        <v>67</v>
      </c>
      <c r="F1357">
        <v>-3</v>
      </c>
      <c r="G1357">
        <v>-4.3</v>
      </c>
    </row>
    <row r="1358" spans="1:7" x14ac:dyDescent="0.35">
      <c r="A1358" t="s">
        <v>67</v>
      </c>
      <c r="B1358" t="s">
        <v>118</v>
      </c>
      <c r="C1358" t="s">
        <v>22</v>
      </c>
      <c r="D1358">
        <v>86</v>
      </c>
      <c r="E1358">
        <v>77</v>
      </c>
      <c r="F1358">
        <v>-9</v>
      </c>
      <c r="G1358">
        <v>-10.5</v>
      </c>
    </row>
    <row r="1359" spans="1:7" x14ac:dyDescent="0.35">
      <c r="A1359" t="s">
        <v>68</v>
      </c>
      <c r="B1359" t="s">
        <v>118</v>
      </c>
      <c r="C1359" t="s">
        <v>22</v>
      </c>
      <c r="D1359">
        <v>89</v>
      </c>
      <c r="E1359">
        <v>81</v>
      </c>
      <c r="F1359">
        <v>-8</v>
      </c>
      <c r="G1359">
        <v>-9</v>
      </c>
    </row>
    <row r="1360" spans="1:7" x14ac:dyDescent="0.35">
      <c r="A1360" t="s">
        <v>69</v>
      </c>
      <c r="B1360" t="s">
        <v>118</v>
      </c>
      <c r="C1360" t="s">
        <v>22</v>
      </c>
      <c r="D1360">
        <v>90</v>
      </c>
      <c r="E1360">
        <v>89</v>
      </c>
      <c r="F1360">
        <v>-1</v>
      </c>
      <c r="G1360">
        <v>-1.1000000000000001</v>
      </c>
    </row>
    <row r="1361" spans="1:7" x14ac:dyDescent="0.35">
      <c r="A1361" t="s">
        <v>70</v>
      </c>
      <c r="B1361" t="s">
        <v>118</v>
      </c>
      <c r="C1361" t="s">
        <v>22</v>
      </c>
      <c r="D1361">
        <v>88</v>
      </c>
      <c r="E1361">
        <v>94</v>
      </c>
      <c r="F1361">
        <v>6</v>
      </c>
      <c r="G1361">
        <v>6.8</v>
      </c>
    </row>
    <row r="1362" spans="1:7" x14ac:dyDescent="0.35">
      <c r="A1362" t="s">
        <v>71</v>
      </c>
      <c r="B1362" t="s">
        <v>118</v>
      </c>
      <c r="C1362" t="s">
        <v>22</v>
      </c>
      <c r="D1362">
        <v>89</v>
      </c>
      <c r="E1362">
        <v>95</v>
      </c>
      <c r="F1362">
        <v>6</v>
      </c>
      <c r="G1362">
        <v>6.7</v>
      </c>
    </row>
    <row r="1363" spans="1:7" x14ac:dyDescent="0.35">
      <c r="A1363" t="s">
        <v>72</v>
      </c>
      <c r="B1363" t="s">
        <v>118</v>
      </c>
      <c r="C1363" t="s">
        <v>22</v>
      </c>
      <c r="D1363">
        <v>85</v>
      </c>
      <c r="E1363">
        <v>101</v>
      </c>
      <c r="F1363">
        <v>16</v>
      </c>
      <c r="G1363">
        <v>18.8</v>
      </c>
    </row>
    <row r="1364" spans="1:7" x14ac:dyDescent="0.35">
      <c r="A1364" t="s">
        <v>73</v>
      </c>
      <c r="B1364" t="s">
        <v>118</v>
      </c>
      <c r="C1364" t="s">
        <v>22</v>
      </c>
      <c r="D1364">
        <v>89</v>
      </c>
      <c r="E1364">
        <v>86</v>
      </c>
      <c r="F1364">
        <v>-3</v>
      </c>
      <c r="G1364">
        <v>-3.4</v>
      </c>
    </row>
    <row r="1365" spans="1:7" x14ac:dyDescent="0.35">
      <c r="A1365" t="s">
        <v>74</v>
      </c>
      <c r="B1365" t="s">
        <v>118</v>
      </c>
      <c r="C1365" t="s">
        <v>22</v>
      </c>
      <c r="D1365">
        <v>105</v>
      </c>
      <c r="E1365">
        <v>119</v>
      </c>
      <c r="F1365">
        <v>14</v>
      </c>
      <c r="G1365">
        <v>13.3</v>
      </c>
    </row>
    <row r="1366" spans="1:7" x14ac:dyDescent="0.35">
      <c r="A1366" t="s">
        <v>75</v>
      </c>
      <c r="B1366" t="s">
        <v>118</v>
      </c>
      <c r="C1366" t="s">
        <v>22</v>
      </c>
      <c r="D1366">
        <v>99</v>
      </c>
      <c r="E1366">
        <v>118</v>
      </c>
      <c r="F1366">
        <v>19</v>
      </c>
      <c r="G1366">
        <v>19.2</v>
      </c>
    </row>
    <row r="1367" spans="1:7" x14ac:dyDescent="0.35">
      <c r="A1367" t="s">
        <v>76</v>
      </c>
      <c r="B1367" t="s">
        <v>118</v>
      </c>
      <c r="C1367" t="s">
        <v>22</v>
      </c>
      <c r="D1367">
        <v>100</v>
      </c>
      <c r="E1367">
        <v>101</v>
      </c>
      <c r="F1367">
        <v>1</v>
      </c>
      <c r="G1367">
        <v>1</v>
      </c>
    </row>
    <row r="1368" spans="1:7" x14ac:dyDescent="0.35">
      <c r="A1368" t="s">
        <v>77</v>
      </c>
      <c r="B1368" t="s">
        <v>118</v>
      </c>
      <c r="C1368" t="s">
        <v>22</v>
      </c>
      <c r="D1368">
        <v>101</v>
      </c>
      <c r="E1368">
        <v>130</v>
      </c>
      <c r="F1368">
        <v>29</v>
      </c>
      <c r="G1368">
        <v>28.7</v>
      </c>
    </row>
    <row r="1369" spans="1:7" x14ac:dyDescent="0.35">
      <c r="A1369" t="s">
        <v>78</v>
      </c>
      <c r="B1369" t="s">
        <v>118</v>
      </c>
      <c r="C1369" t="s">
        <v>22</v>
      </c>
      <c r="D1369">
        <v>101</v>
      </c>
      <c r="E1369">
        <v>124</v>
      </c>
      <c r="F1369">
        <v>23</v>
      </c>
      <c r="G1369">
        <v>22.8</v>
      </c>
    </row>
    <row r="1370" spans="1:7" x14ac:dyDescent="0.35">
      <c r="A1370" t="s">
        <v>79</v>
      </c>
      <c r="B1370" t="s">
        <v>118</v>
      </c>
      <c r="C1370" t="s">
        <v>22</v>
      </c>
      <c r="D1370">
        <v>103</v>
      </c>
      <c r="E1370">
        <v>89</v>
      </c>
      <c r="F1370">
        <v>-14</v>
      </c>
      <c r="G1370">
        <v>-13.6</v>
      </c>
    </row>
    <row r="1371" spans="1:7" x14ac:dyDescent="0.35">
      <c r="A1371" t="s">
        <v>80</v>
      </c>
      <c r="B1371" t="s">
        <v>118</v>
      </c>
      <c r="C1371" t="s">
        <v>22</v>
      </c>
      <c r="D1371">
        <v>113</v>
      </c>
      <c r="E1371">
        <v>103</v>
      </c>
      <c r="F1371">
        <v>-10</v>
      </c>
      <c r="G1371">
        <v>-8.8000000000000007</v>
      </c>
    </row>
    <row r="1372" spans="1:7" x14ac:dyDescent="0.35">
      <c r="A1372" t="s">
        <v>81</v>
      </c>
      <c r="B1372" t="s">
        <v>118</v>
      </c>
      <c r="C1372" t="s">
        <v>22</v>
      </c>
      <c r="D1372">
        <v>108</v>
      </c>
      <c r="E1372">
        <v>108</v>
      </c>
      <c r="F1372">
        <v>0</v>
      </c>
      <c r="G1372">
        <v>0</v>
      </c>
    </row>
    <row r="1373" spans="1:7" x14ac:dyDescent="0.35">
      <c r="A1373" t="s">
        <v>82</v>
      </c>
      <c r="B1373" t="s">
        <v>118</v>
      </c>
      <c r="C1373" t="s">
        <v>22</v>
      </c>
      <c r="D1373">
        <v>126</v>
      </c>
      <c r="E1373">
        <v>116</v>
      </c>
      <c r="F1373">
        <v>-10</v>
      </c>
      <c r="G1373">
        <v>-7.9</v>
      </c>
    </row>
    <row r="1374" spans="1:7" x14ac:dyDescent="0.35">
      <c r="A1374" t="s">
        <v>83</v>
      </c>
      <c r="B1374" t="s">
        <v>118</v>
      </c>
      <c r="C1374" t="s">
        <v>22</v>
      </c>
      <c r="D1374">
        <v>121</v>
      </c>
      <c r="E1374">
        <v>144</v>
      </c>
      <c r="F1374">
        <v>23</v>
      </c>
      <c r="G1374">
        <v>19</v>
      </c>
    </row>
    <row r="1375" spans="1:7" x14ac:dyDescent="0.35">
      <c r="A1375" t="s">
        <v>84</v>
      </c>
      <c r="B1375" t="s">
        <v>118</v>
      </c>
      <c r="C1375" t="s">
        <v>22</v>
      </c>
      <c r="D1375">
        <v>114</v>
      </c>
      <c r="E1375">
        <v>144</v>
      </c>
      <c r="F1375">
        <v>30</v>
      </c>
      <c r="G1375">
        <v>26.3</v>
      </c>
    </row>
    <row r="1376" spans="1:7" x14ac:dyDescent="0.35">
      <c r="A1376" t="s">
        <v>85</v>
      </c>
      <c r="B1376" t="s">
        <v>118</v>
      </c>
      <c r="C1376" t="s">
        <v>22</v>
      </c>
      <c r="D1376">
        <v>122</v>
      </c>
      <c r="E1376">
        <v>140</v>
      </c>
      <c r="F1376">
        <v>18</v>
      </c>
      <c r="G1376">
        <v>14.8</v>
      </c>
    </row>
    <row r="1377" spans="1:7" x14ac:dyDescent="0.35">
      <c r="A1377" t="s">
        <v>86</v>
      </c>
      <c r="B1377" t="s">
        <v>118</v>
      </c>
      <c r="C1377" t="s">
        <v>22</v>
      </c>
      <c r="D1377">
        <v>133</v>
      </c>
      <c r="E1377">
        <v>111</v>
      </c>
      <c r="F1377">
        <v>-22</v>
      </c>
      <c r="G1377">
        <v>-16.5</v>
      </c>
    </row>
    <row r="1378" spans="1:7" x14ac:dyDescent="0.35">
      <c r="A1378" t="s">
        <v>87</v>
      </c>
      <c r="B1378" t="s">
        <v>118</v>
      </c>
      <c r="C1378" t="s">
        <v>22</v>
      </c>
      <c r="D1378">
        <v>142</v>
      </c>
      <c r="E1378">
        <v>109</v>
      </c>
      <c r="F1378">
        <v>-33</v>
      </c>
      <c r="G1378">
        <v>-23.2</v>
      </c>
    </row>
    <row r="1379" spans="1:7" x14ac:dyDescent="0.35">
      <c r="A1379" t="s">
        <v>88</v>
      </c>
      <c r="B1379" t="s">
        <v>118</v>
      </c>
      <c r="C1379" t="s">
        <v>22</v>
      </c>
      <c r="D1379">
        <v>141</v>
      </c>
      <c r="E1379">
        <v>167</v>
      </c>
      <c r="F1379">
        <v>26</v>
      </c>
      <c r="G1379">
        <v>18.399999999999999</v>
      </c>
    </row>
    <row r="1380" spans="1:7" x14ac:dyDescent="0.35">
      <c r="A1380" t="s">
        <v>89</v>
      </c>
      <c r="B1380" t="s">
        <v>118</v>
      </c>
      <c r="C1380" t="s">
        <v>22</v>
      </c>
      <c r="D1380">
        <v>135</v>
      </c>
      <c r="E1380">
        <v>107</v>
      </c>
      <c r="F1380">
        <v>-28</v>
      </c>
      <c r="G1380">
        <v>-20.7</v>
      </c>
    </row>
    <row r="1381" spans="1:7" x14ac:dyDescent="0.35">
      <c r="A1381" t="s">
        <v>90</v>
      </c>
      <c r="B1381" t="s">
        <v>118</v>
      </c>
      <c r="C1381" t="s">
        <v>22</v>
      </c>
      <c r="D1381">
        <v>135</v>
      </c>
      <c r="E1381">
        <v>163</v>
      </c>
      <c r="F1381">
        <v>28</v>
      </c>
      <c r="G1381">
        <v>20.7</v>
      </c>
    </row>
    <row r="1382" spans="1:7" x14ac:dyDescent="0.35">
      <c r="A1382" t="s">
        <v>91</v>
      </c>
      <c r="B1382" t="s">
        <v>118</v>
      </c>
      <c r="C1382" t="s">
        <v>22</v>
      </c>
      <c r="D1382">
        <v>134</v>
      </c>
      <c r="E1382">
        <v>175</v>
      </c>
      <c r="F1382">
        <v>41</v>
      </c>
      <c r="G1382">
        <v>30.6</v>
      </c>
    </row>
    <row r="1383" spans="1:7" x14ac:dyDescent="0.35">
      <c r="A1383" t="s">
        <v>92</v>
      </c>
      <c r="B1383" t="s">
        <v>118</v>
      </c>
      <c r="C1383" t="s">
        <v>22</v>
      </c>
      <c r="D1383">
        <v>156</v>
      </c>
      <c r="E1383">
        <v>150</v>
      </c>
      <c r="F1383">
        <v>-6</v>
      </c>
      <c r="G1383">
        <v>-3.8</v>
      </c>
    </row>
    <row r="1384" spans="1:7" x14ac:dyDescent="0.35">
      <c r="A1384" t="s">
        <v>93</v>
      </c>
      <c r="B1384" t="s">
        <v>118</v>
      </c>
      <c r="C1384" t="s">
        <v>22</v>
      </c>
      <c r="D1384">
        <v>150</v>
      </c>
      <c r="E1384">
        <v>118</v>
      </c>
      <c r="F1384">
        <v>-32</v>
      </c>
      <c r="G1384">
        <v>-21.3</v>
      </c>
    </row>
    <row r="1385" spans="1:7" x14ac:dyDescent="0.35">
      <c r="A1385" t="s">
        <v>94</v>
      </c>
      <c r="B1385" t="s">
        <v>118</v>
      </c>
      <c r="C1385" t="s">
        <v>22</v>
      </c>
      <c r="D1385">
        <v>139</v>
      </c>
      <c r="E1385">
        <v>173</v>
      </c>
      <c r="F1385">
        <v>34</v>
      </c>
      <c r="G1385">
        <v>24.5</v>
      </c>
    </row>
    <row r="1386" spans="1:7" x14ac:dyDescent="0.35">
      <c r="A1386" t="s">
        <v>95</v>
      </c>
      <c r="B1386" t="s">
        <v>118</v>
      </c>
      <c r="C1386" t="s">
        <v>22</v>
      </c>
      <c r="D1386">
        <v>142</v>
      </c>
      <c r="E1386">
        <v>120</v>
      </c>
      <c r="F1386">
        <v>-22</v>
      </c>
      <c r="G1386">
        <v>-15.5</v>
      </c>
    </row>
    <row r="1387" spans="1:7" x14ac:dyDescent="0.35">
      <c r="A1387" t="s">
        <v>96</v>
      </c>
      <c r="B1387" t="s">
        <v>118</v>
      </c>
      <c r="C1387" t="s">
        <v>22</v>
      </c>
      <c r="D1387">
        <v>165</v>
      </c>
      <c r="E1387">
        <v>134</v>
      </c>
      <c r="F1387">
        <v>-31</v>
      </c>
      <c r="G1387">
        <v>-18.8</v>
      </c>
    </row>
    <row r="1388" spans="1:7" x14ac:dyDescent="0.35">
      <c r="A1388" t="s">
        <v>97</v>
      </c>
      <c r="B1388" t="s">
        <v>118</v>
      </c>
      <c r="C1388" t="s">
        <v>22</v>
      </c>
      <c r="D1388">
        <v>149</v>
      </c>
      <c r="E1388">
        <v>151</v>
      </c>
      <c r="F1388">
        <v>2</v>
      </c>
      <c r="G1388">
        <v>1.3</v>
      </c>
    </row>
    <row r="1389" spans="1:7" x14ac:dyDescent="0.35">
      <c r="A1389" t="s">
        <v>98</v>
      </c>
      <c r="B1389" t="s">
        <v>118</v>
      </c>
      <c r="C1389" t="s">
        <v>22</v>
      </c>
      <c r="D1389">
        <v>167</v>
      </c>
      <c r="E1389">
        <v>197</v>
      </c>
      <c r="F1389">
        <v>30</v>
      </c>
      <c r="G1389">
        <v>18</v>
      </c>
    </row>
    <row r="1390" spans="1:7" x14ac:dyDescent="0.35">
      <c r="A1390" t="s">
        <v>99</v>
      </c>
      <c r="B1390" t="s">
        <v>118</v>
      </c>
      <c r="C1390" t="s">
        <v>22</v>
      </c>
      <c r="D1390">
        <v>150</v>
      </c>
      <c r="E1390">
        <v>171</v>
      </c>
      <c r="F1390">
        <v>21</v>
      </c>
      <c r="G1390">
        <v>14</v>
      </c>
    </row>
    <row r="1391" spans="1:7" x14ac:dyDescent="0.35">
      <c r="A1391" t="s">
        <v>100</v>
      </c>
      <c r="B1391" t="s">
        <v>118</v>
      </c>
      <c r="C1391" t="s">
        <v>22</v>
      </c>
      <c r="D1391">
        <v>181</v>
      </c>
      <c r="E1391">
        <v>131</v>
      </c>
      <c r="F1391">
        <v>-50</v>
      </c>
      <c r="G1391">
        <v>-27.6</v>
      </c>
    </row>
    <row r="1392" spans="1:7" x14ac:dyDescent="0.35">
      <c r="A1392" t="s">
        <v>101</v>
      </c>
      <c r="B1392" t="s">
        <v>118</v>
      </c>
      <c r="C1392" t="s">
        <v>22</v>
      </c>
      <c r="D1392">
        <v>186</v>
      </c>
      <c r="E1392">
        <v>144</v>
      </c>
      <c r="F1392">
        <v>-42</v>
      </c>
      <c r="G1392">
        <v>-22.6</v>
      </c>
    </row>
    <row r="1393" spans="1:7" x14ac:dyDescent="0.35">
      <c r="A1393" t="s">
        <v>102</v>
      </c>
      <c r="B1393" t="s">
        <v>118</v>
      </c>
      <c r="C1393" t="s">
        <v>22</v>
      </c>
      <c r="D1393">
        <v>177</v>
      </c>
      <c r="E1393">
        <v>199</v>
      </c>
      <c r="F1393">
        <v>22</v>
      </c>
      <c r="G1393">
        <v>12.4</v>
      </c>
    </row>
    <row r="1394" spans="1:7" x14ac:dyDescent="0.35">
      <c r="A1394" t="s">
        <v>103</v>
      </c>
      <c r="B1394" t="s">
        <v>118</v>
      </c>
      <c r="C1394" t="s">
        <v>22</v>
      </c>
      <c r="D1394">
        <v>160</v>
      </c>
      <c r="E1394">
        <v>205</v>
      </c>
      <c r="F1394">
        <v>45</v>
      </c>
      <c r="G1394">
        <v>28.1</v>
      </c>
    </row>
    <row r="1395" spans="1:7" x14ac:dyDescent="0.35">
      <c r="A1395" t="s">
        <v>104</v>
      </c>
      <c r="B1395" t="s">
        <v>118</v>
      </c>
      <c r="C1395" t="s">
        <v>22</v>
      </c>
      <c r="D1395">
        <v>185</v>
      </c>
      <c r="E1395">
        <v>141</v>
      </c>
      <c r="F1395">
        <v>-44</v>
      </c>
      <c r="G1395">
        <v>-23.8</v>
      </c>
    </row>
    <row r="1396" spans="1:7" x14ac:dyDescent="0.35">
      <c r="A1396" t="s">
        <v>105</v>
      </c>
      <c r="B1396" t="s">
        <v>118</v>
      </c>
      <c r="C1396" t="s">
        <v>22</v>
      </c>
      <c r="D1396">
        <v>190</v>
      </c>
      <c r="E1396">
        <v>135</v>
      </c>
      <c r="F1396">
        <v>-55</v>
      </c>
      <c r="G1396">
        <v>-28.9</v>
      </c>
    </row>
    <row r="1397" spans="1:7" x14ac:dyDescent="0.35">
      <c r="A1397" t="s">
        <v>106</v>
      </c>
      <c r="B1397" t="s">
        <v>118</v>
      </c>
      <c r="C1397" t="s">
        <v>22</v>
      </c>
      <c r="D1397">
        <v>189</v>
      </c>
      <c r="E1397">
        <v>169</v>
      </c>
      <c r="F1397">
        <v>-20</v>
      </c>
      <c r="G1397">
        <v>-10.6</v>
      </c>
    </row>
    <row r="1398" spans="1:7" x14ac:dyDescent="0.35">
      <c r="A1398" t="s">
        <v>107</v>
      </c>
      <c r="B1398" t="s">
        <v>118</v>
      </c>
      <c r="C1398" t="s">
        <v>22</v>
      </c>
      <c r="D1398">
        <v>182</v>
      </c>
      <c r="E1398">
        <v>174</v>
      </c>
      <c r="F1398">
        <v>-8</v>
      </c>
      <c r="G1398">
        <v>-4.4000000000000004</v>
      </c>
    </row>
    <row r="1399" spans="1:7" x14ac:dyDescent="0.35">
      <c r="A1399" t="s">
        <v>108</v>
      </c>
      <c r="B1399" t="s">
        <v>118</v>
      </c>
      <c r="C1399" t="s">
        <v>22</v>
      </c>
      <c r="D1399">
        <v>170</v>
      </c>
      <c r="E1399">
        <v>168</v>
      </c>
      <c r="F1399">
        <v>-2</v>
      </c>
      <c r="G1399">
        <v>-1.2</v>
      </c>
    </row>
    <row r="1400" spans="1:7" x14ac:dyDescent="0.35">
      <c r="A1400" t="s">
        <v>109</v>
      </c>
      <c r="B1400" t="s">
        <v>118</v>
      </c>
      <c r="C1400" t="s">
        <v>22</v>
      </c>
      <c r="D1400">
        <v>169</v>
      </c>
      <c r="E1400">
        <v>210</v>
      </c>
      <c r="F1400">
        <v>41</v>
      </c>
      <c r="G1400">
        <v>24.3</v>
      </c>
    </row>
    <row r="1401" spans="1:7" x14ac:dyDescent="0.35">
      <c r="A1401" t="s">
        <v>110</v>
      </c>
      <c r="B1401" t="s">
        <v>118</v>
      </c>
      <c r="C1401" t="s">
        <v>22</v>
      </c>
      <c r="D1401">
        <v>167</v>
      </c>
      <c r="E1401">
        <v>170</v>
      </c>
      <c r="F1401">
        <v>3</v>
      </c>
      <c r="G1401">
        <v>1.8</v>
      </c>
    </row>
    <row r="1402" spans="1:7" x14ac:dyDescent="0.35">
      <c r="A1402" t="s">
        <v>111</v>
      </c>
      <c r="B1402" t="s">
        <v>118</v>
      </c>
      <c r="C1402" t="s">
        <v>22</v>
      </c>
      <c r="D1402">
        <v>162</v>
      </c>
      <c r="E1402">
        <v>184</v>
      </c>
      <c r="F1402">
        <v>22</v>
      </c>
      <c r="G1402">
        <v>13.6</v>
      </c>
    </row>
    <row r="1403" spans="1:7" x14ac:dyDescent="0.35">
      <c r="A1403" t="s">
        <v>112</v>
      </c>
      <c r="B1403" t="s">
        <v>118</v>
      </c>
      <c r="C1403" t="s">
        <v>22</v>
      </c>
      <c r="D1403">
        <v>179</v>
      </c>
      <c r="E1403">
        <v>187</v>
      </c>
      <c r="F1403">
        <v>8</v>
      </c>
      <c r="G1403">
        <v>4.5</v>
      </c>
    </row>
    <row r="1404" spans="1:7" x14ac:dyDescent="0.35">
      <c r="A1404" t="s">
        <v>113</v>
      </c>
      <c r="B1404" t="s">
        <v>118</v>
      </c>
      <c r="C1404" t="s">
        <v>22</v>
      </c>
      <c r="D1404">
        <v>174</v>
      </c>
      <c r="E1404">
        <v>208</v>
      </c>
      <c r="F1404">
        <v>34</v>
      </c>
      <c r="G1404">
        <v>19.5</v>
      </c>
    </row>
    <row r="1405" spans="1:7" x14ac:dyDescent="0.35">
      <c r="A1405" t="s">
        <v>114</v>
      </c>
      <c r="B1405" t="s">
        <v>118</v>
      </c>
      <c r="C1405" t="s">
        <v>22</v>
      </c>
      <c r="D1405">
        <v>174</v>
      </c>
      <c r="E1405">
        <v>138</v>
      </c>
      <c r="F1405">
        <v>-36</v>
      </c>
      <c r="G1405">
        <v>-20.7</v>
      </c>
    </row>
    <row r="1406" spans="1:7" x14ac:dyDescent="0.35">
      <c r="A1406" t="s">
        <v>62</v>
      </c>
      <c r="B1406" t="s">
        <v>118</v>
      </c>
      <c r="C1406" t="s">
        <v>27</v>
      </c>
      <c r="D1406">
        <v>51</v>
      </c>
      <c r="E1406">
        <v>46</v>
      </c>
      <c r="F1406">
        <v>-5</v>
      </c>
      <c r="G1406">
        <v>-9.8000000000000007</v>
      </c>
    </row>
    <row r="1407" spans="1:7" x14ac:dyDescent="0.35">
      <c r="A1407" t="s">
        <v>64</v>
      </c>
      <c r="B1407" t="s">
        <v>118</v>
      </c>
      <c r="C1407" t="s">
        <v>27</v>
      </c>
      <c r="D1407">
        <v>61</v>
      </c>
      <c r="E1407">
        <v>58</v>
      </c>
      <c r="F1407">
        <v>-3</v>
      </c>
      <c r="G1407">
        <v>-4.9000000000000004</v>
      </c>
    </row>
    <row r="1408" spans="1:7" x14ac:dyDescent="0.35">
      <c r="A1408" t="s">
        <v>65</v>
      </c>
      <c r="B1408" t="s">
        <v>118</v>
      </c>
      <c r="C1408" t="s">
        <v>27</v>
      </c>
      <c r="D1408">
        <v>60</v>
      </c>
      <c r="E1408">
        <v>68</v>
      </c>
      <c r="F1408">
        <v>8</v>
      </c>
      <c r="G1408">
        <v>13.3</v>
      </c>
    </row>
    <row r="1409" spans="1:7" x14ac:dyDescent="0.35">
      <c r="A1409" t="s">
        <v>66</v>
      </c>
      <c r="B1409" t="s">
        <v>118</v>
      </c>
      <c r="C1409" t="s">
        <v>27</v>
      </c>
      <c r="D1409">
        <v>65</v>
      </c>
      <c r="E1409">
        <v>76</v>
      </c>
      <c r="F1409">
        <v>11</v>
      </c>
      <c r="G1409">
        <v>16.899999999999999</v>
      </c>
    </row>
    <row r="1410" spans="1:7" x14ac:dyDescent="0.35">
      <c r="A1410" t="s">
        <v>67</v>
      </c>
      <c r="B1410" t="s">
        <v>118</v>
      </c>
      <c r="C1410" t="s">
        <v>27</v>
      </c>
      <c r="D1410">
        <v>67</v>
      </c>
      <c r="E1410">
        <v>59</v>
      </c>
      <c r="F1410">
        <v>-8</v>
      </c>
      <c r="G1410">
        <v>-11.9</v>
      </c>
    </row>
    <row r="1411" spans="1:7" x14ac:dyDescent="0.35">
      <c r="A1411" t="s">
        <v>68</v>
      </c>
      <c r="B1411" t="s">
        <v>118</v>
      </c>
      <c r="C1411" t="s">
        <v>27</v>
      </c>
      <c r="D1411">
        <v>66</v>
      </c>
      <c r="E1411">
        <v>65</v>
      </c>
      <c r="F1411">
        <v>-1</v>
      </c>
      <c r="G1411">
        <v>-1.5</v>
      </c>
    </row>
    <row r="1412" spans="1:7" x14ac:dyDescent="0.35">
      <c r="A1412" t="s">
        <v>69</v>
      </c>
      <c r="B1412" t="s">
        <v>118</v>
      </c>
      <c r="C1412" t="s">
        <v>27</v>
      </c>
      <c r="D1412">
        <v>73</v>
      </c>
      <c r="E1412">
        <v>67</v>
      </c>
      <c r="F1412">
        <v>-6</v>
      </c>
      <c r="G1412">
        <v>-8.1999999999999993</v>
      </c>
    </row>
    <row r="1413" spans="1:7" x14ac:dyDescent="0.35">
      <c r="A1413" t="s">
        <v>70</v>
      </c>
      <c r="B1413" t="s">
        <v>118</v>
      </c>
      <c r="C1413" t="s">
        <v>27</v>
      </c>
      <c r="D1413">
        <v>68</v>
      </c>
      <c r="E1413">
        <v>58</v>
      </c>
      <c r="F1413">
        <v>-10</v>
      </c>
      <c r="G1413">
        <v>-14.7</v>
      </c>
    </row>
    <row r="1414" spans="1:7" x14ac:dyDescent="0.35">
      <c r="A1414" t="s">
        <v>71</v>
      </c>
      <c r="B1414" t="s">
        <v>118</v>
      </c>
      <c r="C1414" t="s">
        <v>27</v>
      </c>
      <c r="D1414">
        <v>69</v>
      </c>
      <c r="E1414">
        <v>61</v>
      </c>
      <c r="F1414">
        <v>-8</v>
      </c>
      <c r="G1414">
        <v>-11.6</v>
      </c>
    </row>
    <row r="1415" spans="1:7" x14ac:dyDescent="0.35">
      <c r="A1415" t="s">
        <v>72</v>
      </c>
      <c r="B1415" t="s">
        <v>118</v>
      </c>
      <c r="C1415" t="s">
        <v>27</v>
      </c>
      <c r="D1415">
        <v>79</v>
      </c>
      <c r="E1415">
        <v>84</v>
      </c>
      <c r="F1415">
        <v>5</v>
      </c>
      <c r="G1415">
        <v>6.3</v>
      </c>
    </row>
    <row r="1416" spans="1:7" x14ac:dyDescent="0.35">
      <c r="A1416" t="s">
        <v>73</v>
      </c>
      <c r="B1416" t="s">
        <v>118</v>
      </c>
      <c r="C1416" t="s">
        <v>27</v>
      </c>
      <c r="D1416">
        <v>69</v>
      </c>
      <c r="E1416">
        <v>94</v>
      </c>
      <c r="F1416">
        <v>25</v>
      </c>
      <c r="G1416">
        <v>36.200000000000003</v>
      </c>
    </row>
    <row r="1417" spans="1:7" x14ac:dyDescent="0.35">
      <c r="A1417" t="s">
        <v>74</v>
      </c>
      <c r="B1417" t="s">
        <v>118</v>
      </c>
      <c r="C1417" t="s">
        <v>27</v>
      </c>
      <c r="D1417">
        <v>78</v>
      </c>
      <c r="E1417">
        <v>88</v>
      </c>
      <c r="F1417">
        <v>10</v>
      </c>
      <c r="G1417">
        <v>12.8</v>
      </c>
    </row>
    <row r="1418" spans="1:7" x14ac:dyDescent="0.35">
      <c r="A1418" t="s">
        <v>75</v>
      </c>
      <c r="B1418" t="s">
        <v>118</v>
      </c>
      <c r="C1418" t="s">
        <v>27</v>
      </c>
      <c r="D1418">
        <v>88</v>
      </c>
      <c r="E1418">
        <v>99</v>
      </c>
      <c r="F1418">
        <v>11</v>
      </c>
      <c r="G1418">
        <v>12.5</v>
      </c>
    </row>
    <row r="1419" spans="1:7" x14ac:dyDescent="0.35">
      <c r="A1419" t="s">
        <v>76</v>
      </c>
      <c r="B1419" t="s">
        <v>118</v>
      </c>
      <c r="C1419" t="s">
        <v>27</v>
      </c>
      <c r="D1419">
        <v>75</v>
      </c>
      <c r="E1419">
        <v>88</v>
      </c>
      <c r="F1419">
        <v>13</v>
      </c>
      <c r="G1419">
        <v>17.3</v>
      </c>
    </row>
    <row r="1420" spans="1:7" x14ac:dyDescent="0.35">
      <c r="A1420" t="s">
        <v>77</v>
      </c>
      <c r="B1420" t="s">
        <v>118</v>
      </c>
      <c r="C1420" t="s">
        <v>27</v>
      </c>
      <c r="D1420">
        <v>80</v>
      </c>
      <c r="E1420">
        <v>97</v>
      </c>
      <c r="F1420">
        <v>17</v>
      </c>
      <c r="G1420">
        <v>21.2</v>
      </c>
    </row>
    <row r="1421" spans="1:7" x14ac:dyDescent="0.35">
      <c r="A1421" t="s">
        <v>78</v>
      </c>
      <c r="B1421" t="s">
        <v>118</v>
      </c>
      <c r="C1421" t="s">
        <v>27</v>
      </c>
      <c r="D1421">
        <v>93</v>
      </c>
      <c r="E1421">
        <v>67</v>
      </c>
      <c r="F1421">
        <v>-26</v>
      </c>
      <c r="G1421">
        <v>-28</v>
      </c>
    </row>
    <row r="1422" spans="1:7" x14ac:dyDescent="0.35">
      <c r="A1422" t="s">
        <v>79</v>
      </c>
      <c r="B1422" t="s">
        <v>118</v>
      </c>
      <c r="C1422" t="s">
        <v>27</v>
      </c>
      <c r="D1422">
        <v>97</v>
      </c>
      <c r="E1422">
        <v>75</v>
      </c>
      <c r="F1422">
        <v>-22</v>
      </c>
      <c r="G1422">
        <v>-22.7</v>
      </c>
    </row>
    <row r="1423" spans="1:7" x14ac:dyDescent="0.35">
      <c r="A1423" t="s">
        <v>80</v>
      </c>
      <c r="B1423" t="s">
        <v>118</v>
      </c>
      <c r="C1423" t="s">
        <v>27</v>
      </c>
      <c r="D1423">
        <v>96</v>
      </c>
      <c r="E1423">
        <v>103</v>
      </c>
      <c r="F1423">
        <v>7</v>
      </c>
      <c r="G1423">
        <v>7.3</v>
      </c>
    </row>
    <row r="1424" spans="1:7" x14ac:dyDescent="0.35">
      <c r="A1424" t="s">
        <v>81</v>
      </c>
      <c r="B1424" t="s">
        <v>118</v>
      </c>
      <c r="C1424" t="s">
        <v>27</v>
      </c>
      <c r="D1424">
        <v>89</v>
      </c>
      <c r="E1424">
        <v>108</v>
      </c>
      <c r="F1424">
        <v>19</v>
      </c>
      <c r="G1424">
        <v>21.3</v>
      </c>
    </row>
    <row r="1425" spans="1:7" x14ac:dyDescent="0.35">
      <c r="A1425" t="s">
        <v>82</v>
      </c>
      <c r="B1425" t="s">
        <v>118</v>
      </c>
      <c r="C1425" t="s">
        <v>27</v>
      </c>
      <c r="D1425">
        <v>101</v>
      </c>
      <c r="E1425">
        <v>79</v>
      </c>
      <c r="F1425">
        <v>-22</v>
      </c>
      <c r="G1425">
        <v>-21.8</v>
      </c>
    </row>
    <row r="1426" spans="1:7" x14ac:dyDescent="0.35">
      <c r="A1426" t="s">
        <v>83</v>
      </c>
      <c r="B1426" t="s">
        <v>118</v>
      </c>
      <c r="C1426" t="s">
        <v>27</v>
      </c>
      <c r="D1426">
        <v>98</v>
      </c>
      <c r="E1426">
        <v>111</v>
      </c>
      <c r="F1426">
        <v>13</v>
      </c>
      <c r="G1426">
        <v>13.3</v>
      </c>
    </row>
    <row r="1427" spans="1:7" x14ac:dyDescent="0.35">
      <c r="A1427" t="s">
        <v>84</v>
      </c>
      <c r="B1427" t="s">
        <v>118</v>
      </c>
      <c r="C1427" t="s">
        <v>27</v>
      </c>
      <c r="D1427">
        <v>102</v>
      </c>
      <c r="E1427">
        <v>119</v>
      </c>
      <c r="F1427">
        <v>17</v>
      </c>
      <c r="G1427">
        <v>16.7</v>
      </c>
    </row>
    <row r="1428" spans="1:7" x14ac:dyDescent="0.35">
      <c r="A1428" t="s">
        <v>85</v>
      </c>
      <c r="B1428" t="s">
        <v>118</v>
      </c>
      <c r="C1428" t="s">
        <v>27</v>
      </c>
      <c r="D1428">
        <v>91</v>
      </c>
      <c r="E1428">
        <v>110</v>
      </c>
      <c r="F1428">
        <v>19</v>
      </c>
      <c r="G1428">
        <v>20.9</v>
      </c>
    </row>
    <row r="1429" spans="1:7" x14ac:dyDescent="0.35">
      <c r="A1429" t="s">
        <v>86</v>
      </c>
      <c r="B1429" t="s">
        <v>118</v>
      </c>
      <c r="C1429" t="s">
        <v>27</v>
      </c>
      <c r="D1429">
        <v>112</v>
      </c>
      <c r="E1429">
        <v>106</v>
      </c>
      <c r="F1429">
        <v>-6</v>
      </c>
      <c r="G1429">
        <v>-5.4</v>
      </c>
    </row>
    <row r="1430" spans="1:7" x14ac:dyDescent="0.35">
      <c r="A1430" t="s">
        <v>87</v>
      </c>
      <c r="B1430" t="s">
        <v>118</v>
      </c>
      <c r="C1430" t="s">
        <v>27</v>
      </c>
      <c r="D1430">
        <v>106</v>
      </c>
      <c r="E1430">
        <v>88</v>
      </c>
      <c r="F1430">
        <v>-18</v>
      </c>
      <c r="G1430">
        <v>-17</v>
      </c>
    </row>
    <row r="1431" spans="1:7" x14ac:dyDescent="0.35">
      <c r="A1431" t="s">
        <v>88</v>
      </c>
      <c r="B1431" t="s">
        <v>118</v>
      </c>
      <c r="C1431" t="s">
        <v>27</v>
      </c>
      <c r="D1431">
        <v>117</v>
      </c>
      <c r="E1431">
        <v>127</v>
      </c>
      <c r="F1431">
        <v>10</v>
      </c>
      <c r="G1431">
        <v>8.5</v>
      </c>
    </row>
    <row r="1432" spans="1:7" x14ac:dyDescent="0.35">
      <c r="A1432" t="s">
        <v>89</v>
      </c>
      <c r="B1432" t="s">
        <v>118</v>
      </c>
      <c r="C1432" t="s">
        <v>27</v>
      </c>
      <c r="D1432">
        <v>108</v>
      </c>
      <c r="E1432">
        <v>98</v>
      </c>
      <c r="F1432">
        <v>-10</v>
      </c>
      <c r="G1432">
        <v>-9.3000000000000007</v>
      </c>
    </row>
    <row r="1433" spans="1:7" x14ac:dyDescent="0.35">
      <c r="A1433" t="s">
        <v>90</v>
      </c>
      <c r="B1433" t="s">
        <v>118</v>
      </c>
      <c r="C1433" t="s">
        <v>27</v>
      </c>
      <c r="D1433">
        <v>110</v>
      </c>
      <c r="E1433">
        <v>88</v>
      </c>
      <c r="F1433">
        <v>-22</v>
      </c>
      <c r="G1433">
        <v>-20</v>
      </c>
    </row>
    <row r="1434" spans="1:7" x14ac:dyDescent="0.35">
      <c r="A1434" t="s">
        <v>91</v>
      </c>
      <c r="B1434" t="s">
        <v>118</v>
      </c>
      <c r="C1434" t="s">
        <v>27</v>
      </c>
      <c r="D1434">
        <v>107</v>
      </c>
      <c r="E1434">
        <v>97</v>
      </c>
      <c r="F1434">
        <v>-10</v>
      </c>
      <c r="G1434">
        <v>-9.3000000000000007</v>
      </c>
    </row>
    <row r="1435" spans="1:7" x14ac:dyDescent="0.35">
      <c r="A1435" t="s">
        <v>92</v>
      </c>
      <c r="B1435" t="s">
        <v>118</v>
      </c>
      <c r="C1435" t="s">
        <v>27</v>
      </c>
      <c r="D1435">
        <v>115</v>
      </c>
      <c r="E1435">
        <v>86</v>
      </c>
      <c r="F1435">
        <v>-29</v>
      </c>
      <c r="G1435">
        <v>-25.2</v>
      </c>
    </row>
    <row r="1436" spans="1:7" x14ac:dyDescent="0.35">
      <c r="A1436" t="s">
        <v>93</v>
      </c>
      <c r="B1436" t="s">
        <v>118</v>
      </c>
      <c r="C1436" t="s">
        <v>27</v>
      </c>
      <c r="D1436">
        <v>127</v>
      </c>
      <c r="E1436">
        <v>99</v>
      </c>
      <c r="F1436">
        <v>-28</v>
      </c>
      <c r="G1436">
        <v>-22</v>
      </c>
    </row>
    <row r="1437" spans="1:7" x14ac:dyDescent="0.35">
      <c r="A1437" t="s">
        <v>94</v>
      </c>
      <c r="B1437" t="s">
        <v>118</v>
      </c>
      <c r="C1437" t="s">
        <v>27</v>
      </c>
      <c r="D1437">
        <v>110</v>
      </c>
      <c r="E1437">
        <v>132</v>
      </c>
      <c r="F1437">
        <v>22</v>
      </c>
      <c r="G1437">
        <v>20</v>
      </c>
    </row>
    <row r="1438" spans="1:7" x14ac:dyDescent="0.35">
      <c r="A1438" t="s">
        <v>95</v>
      </c>
      <c r="B1438" t="s">
        <v>118</v>
      </c>
      <c r="C1438" t="s">
        <v>27</v>
      </c>
      <c r="D1438">
        <v>131</v>
      </c>
      <c r="E1438">
        <v>142</v>
      </c>
      <c r="F1438">
        <v>11</v>
      </c>
      <c r="G1438">
        <v>8.4</v>
      </c>
    </row>
    <row r="1439" spans="1:7" x14ac:dyDescent="0.35">
      <c r="A1439" t="s">
        <v>96</v>
      </c>
      <c r="B1439" t="s">
        <v>118</v>
      </c>
      <c r="C1439" t="s">
        <v>27</v>
      </c>
      <c r="D1439">
        <v>119</v>
      </c>
      <c r="E1439">
        <v>93</v>
      </c>
      <c r="F1439">
        <v>-26</v>
      </c>
      <c r="G1439">
        <v>-21.8</v>
      </c>
    </row>
    <row r="1440" spans="1:7" x14ac:dyDescent="0.35">
      <c r="A1440" t="s">
        <v>97</v>
      </c>
      <c r="B1440" t="s">
        <v>118</v>
      </c>
      <c r="C1440" t="s">
        <v>27</v>
      </c>
      <c r="D1440">
        <v>127</v>
      </c>
      <c r="E1440">
        <v>151</v>
      </c>
      <c r="F1440">
        <v>24</v>
      </c>
      <c r="G1440">
        <v>18.899999999999999</v>
      </c>
    </row>
    <row r="1441" spans="1:7" x14ac:dyDescent="0.35">
      <c r="A1441" t="s">
        <v>98</v>
      </c>
      <c r="B1441" t="s">
        <v>118</v>
      </c>
      <c r="C1441" t="s">
        <v>27</v>
      </c>
      <c r="D1441">
        <v>134</v>
      </c>
      <c r="E1441">
        <v>149</v>
      </c>
      <c r="F1441">
        <v>15</v>
      </c>
      <c r="G1441">
        <v>11.2</v>
      </c>
    </row>
    <row r="1442" spans="1:7" x14ac:dyDescent="0.35">
      <c r="A1442" t="s">
        <v>99</v>
      </c>
      <c r="B1442" t="s">
        <v>118</v>
      </c>
      <c r="C1442" t="s">
        <v>27</v>
      </c>
      <c r="D1442">
        <v>139</v>
      </c>
      <c r="E1442">
        <v>159</v>
      </c>
      <c r="F1442">
        <v>20</v>
      </c>
      <c r="G1442">
        <v>14.4</v>
      </c>
    </row>
    <row r="1443" spans="1:7" x14ac:dyDescent="0.35">
      <c r="A1443" t="s">
        <v>100</v>
      </c>
      <c r="B1443" t="s">
        <v>118</v>
      </c>
      <c r="C1443" t="s">
        <v>27</v>
      </c>
      <c r="D1443">
        <v>128</v>
      </c>
      <c r="E1443">
        <v>160</v>
      </c>
      <c r="F1443">
        <v>32</v>
      </c>
      <c r="G1443">
        <v>25</v>
      </c>
    </row>
    <row r="1444" spans="1:7" x14ac:dyDescent="0.35">
      <c r="A1444" t="s">
        <v>101</v>
      </c>
      <c r="B1444" t="s">
        <v>118</v>
      </c>
      <c r="C1444" t="s">
        <v>27</v>
      </c>
      <c r="D1444">
        <v>131</v>
      </c>
      <c r="E1444">
        <v>107</v>
      </c>
      <c r="F1444">
        <v>-24</v>
      </c>
      <c r="G1444">
        <v>-18.3</v>
      </c>
    </row>
    <row r="1445" spans="1:7" x14ac:dyDescent="0.35">
      <c r="A1445" t="s">
        <v>102</v>
      </c>
      <c r="B1445" t="s">
        <v>118</v>
      </c>
      <c r="C1445" t="s">
        <v>27</v>
      </c>
      <c r="D1445">
        <v>130</v>
      </c>
      <c r="E1445">
        <v>111</v>
      </c>
      <c r="F1445">
        <v>-19</v>
      </c>
      <c r="G1445">
        <v>-14.6</v>
      </c>
    </row>
    <row r="1446" spans="1:7" x14ac:dyDescent="0.35">
      <c r="A1446" t="s">
        <v>103</v>
      </c>
      <c r="B1446" t="s">
        <v>118</v>
      </c>
      <c r="C1446" t="s">
        <v>27</v>
      </c>
      <c r="D1446">
        <v>128</v>
      </c>
      <c r="E1446">
        <v>168</v>
      </c>
      <c r="F1446">
        <v>40</v>
      </c>
      <c r="G1446">
        <v>31.2</v>
      </c>
    </row>
    <row r="1447" spans="1:7" x14ac:dyDescent="0.35">
      <c r="A1447" t="s">
        <v>104</v>
      </c>
      <c r="B1447" t="s">
        <v>118</v>
      </c>
      <c r="C1447" t="s">
        <v>27</v>
      </c>
      <c r="D1447">
        <v>146</v>
      </c>
      <c r="E1447">
        <v>169</v>
      </c>
      <c r="F1447">
        <v>23</v>
      </c>
      <c r="G1447">
        <v>15.8</v>
      </c>
    </row>
    <row r="1448" spans="1:7" x14ac:dyDescent="0.35">
      <c r="A1448" t="s">
        <v>105</v>
      </c>
      <c r="B1448" t="s">
        <v>118</v>
      </c>
      <c r="C1448" t="s">
        <v>27</v>
      </c>
      <c r="D1448">
        <v>142</v>
      </c>
      <c r="E1448">
        <v>115</v>
      </c>
      <c r="F1448">
        <v>-27</v>
      </c>
      <c r="G1448">
        <v>-19</v>
      </c>
    </row>
    <row r="1449" spans="1:7" x14ac:dyDescent="0.35">
      <c r="A1449" t="s">
        <v>106</v>
      </c>
      <c r="B1449" t="s">
        <v>118</v>
      </c>
      <c r="C1449" t="s">
        <v>27</v>
      </c>
      <c r="D1449">
        <v>150</v>
      </c>
      <c r="E1449">
        <v>151</v>
      </c>
      <c r="F1449">
        <v>1</v>
      </c>
      <c r="G1449">
        <v>0.7</v>
      </c>
    </row>
    <row r="1450" spans="1:7" x14ac:dyDescent="0.35">
      <c r="A1450" t="s">
        <v>107</v>
      </c>
      <c r="B1450" t="s">
        <v>118</v>
      </c>
      <c r="C1450" t="s">
        <v>27</v>
      </c>
      <c r="D1450">
        <v>149</v>
      </c>
      <c r="E1450">
        <v>157</v>
      </c>
      <c r="F1450">
        <v>8</v>
      </c>
      <c r="G1450">
        <v>5.4</v>
      </c>
    </row>
    <row r="1451" spans="1:7" x14ac:dyDescent="0.35">
      <c r="A1451" t="s">
        <v>108</v>
      </c>
      <c r="B1451" t="s">
        <v>118</v>
      </c>
      <c r="C1451" t="s">
        <v>27</v>
      </c>
      <c r="D1451">
        <v>130</v>
      </c>
      <c r="E1451">
        <v>144</v>
      </c>
      <c r="F1451">
        <v>14</v>
      </c>
      <c r="G1451">
        <v>10.8</v>
      </c>
    </row>
    <row r="1452" spans="1:7" x14ac:dyDescent="0.35">
      <c r="A1452" t="s">
        <v>109</v>
      </c>
      <c r="B1452" t="s">
        <v>118</v>
      </c>
      <c r="C1452" t="s">
        <v>27</v>
      </c>
      <c r="D1452">
        <v>129</v>
      </c>
      <c r="E1452">
        <v>124</v>
      </c>
      <c r="F1452">
        <v>-5</v>
      </c>
      <c r="G1452">
        <v>-3.9</v>
      </c>
    </row>
    <row r="1453" spans="1:7" x14ac:dyDescent="0.35">
      <c r="A1453" t="s">
        <v>110</v>
      </c>
      <c r="B1453" t="s">
        <v>118</v>
      </c>
      <c r="C1453" t="s">
        <v>27</v>
      </c>
      <c r="D1453">
        <v>143</v>
      </c>
      <c r="E1453">
        <v>112</v>
      </c>
      <c r="F1453">
        <v>-31</v>
      </c>
      <c r="G1453">
        <v>-21.7</v>
      </c>
    </row>
    <row r="1454" spans="1:7" x14ac:dyDescent="0.35">
      <c r="A1454" t="s">
        <v>111</v>
      </c>
      <c r="B1454" t="s">
        <v>118</v>
      </c>
      <c r="C1454" t="s">
        <v>27</v>
      </c>
      <c r="D1454">
        <v>144</v>
      </c>
      <c r="E1454">
        <v>168</v>
      </c>
      <c r="F1454">
        <v>24</v>
      </c>
      <c r="G1454">
        <v>16.7</v>
      </c>
    </row>
    <row r="1455" spans="1:7" x14ac:dyDescent="0.35">
      <c r="A1455" t="s">
        <v>112</v>
      </c>
      <c r="B1455" t="s">
        <v>118</v>
      </c>
      <c r="C1455" t="s">
        <v>27</v>
      </c>
      <c r="D1455">
        <v>150</v>
      </c>
      <c r="E1455">
        <v>130</v>
      </c>
      <c r="F1455">
        <v>-20</v>
      </c>
      <c r="G1455">
        <v>-13.3</v>
      </c>
    </row>
    <row r="1456" spans="1:7" x14ac:dyDescent="0.35">
      <c r="A1456" t="s">
        <v>113</v>
      </c>
      <c r="B1456" t="s">
        <v>118</v>
      </c>
      <c r="C1456" t="s">
        <v>27</v>
      </c>
      <c r="D1456">
        <v>151</v>
      </c>
      <c r="E1456">
        <v>170</v>
      </c>
      <c r="F1456">
        <v>19</v>
      </c>
      <c r="G1456">
        <v>12.6</v>
      </c>
    </row>
    <row r="1457" spans="1:7" x14ac:dyDescent="0.35">
      <c r="A1457" t="s">
        <v>114</v>
      </c>
      <c r="B1457" t="s">
        <v>118</v>
      </c>
      <c r="C1457" t="s">
        <v>27</v>
      </c>
      <c r="D1457">
        <v>125</v>
      </c>
      <c r="E1457">
        <v>145</v>
      </c>
      <c r="F1457">
        <v>20</v>
      </c>
      <c r="G1457">
        <v>16</v>
      </c>
    </row>
    <row r="1458" spans="1:7" x14ac:dyDescent="0.35">
      <c r="A1458" t="s">
        <v>62</v>
      </c>
      <c r="B1458" t="s">
        <v>118</v>
      </c>
      <c r="C1458" t="s">
        <v>32</v>
      </c>
      <c r="D1458">
        <v>74</v>
      </c>
      <c r="E1458">
        <v>80</v>
      </c>
      <c r="F1458">
        <v>6</v>
      </c>
      <c r="G1458">
        <v>8.1</v>
      </c>
    </row>
    <row r="1459" spans="1:7" x14ac:dyDescent="0.35">
      <c r="A1459" t="s">
        <v>64</v>
      </c>
      <c r="B1459" t="s">
        <v>118</v>
      </c>
      <c r="C1459" t="s">
        <v>32</v>
      </c>
      <c r="D1459">
        <v>88</v>
      </c>
      <c r="E1459">
        <v>66</v>
      </c>
      <c r="F1459">
        <v>-22</v>
      </c>
      <c r="G1459">
        <v>-25</v>
      </c>
    </row>
    <row r="1460" spans="1:7" x14ac:dyDescent="0.35">
      <c r="A1460" t="s">
        <v>65</v>
      </c>
      <c r="B1460" t="s">
        <v>118</v>
      </c>
      <c r="C1460" t="s">
        <v>32</v>
      </c>
      <c r="D1460">
        <v>88</v>
      </c>
      <c r="E1460">
        <v>73</v>
      </c>
      <c r="F1460">
        <v>-15</v>
      </c>
      <c r="G1460">
        <v>-17</v>
      </c>
    </row>
    <row r="1461" spans="1:7" x14ac:dyDescent="0.35">
      <c r="A1461" t="s">
        <v>66</v>
      </c>
      <c r="B1461" t="s">
        <v>118</v>
      </c>
      <c r="C1461" t="s">
        <v>32</v>
      </c>
      <c r="D1461">
        <v>95</v>
      </c>
      <c r="E1461">
        <v>72</v>
      </c>
      <c r="F1461">
        <v>-23</v>
      </c>
      <c r="G1461">
        <v>-24.2</v>
      </c>
    </row>
    <row r="1462" spans="1:7" x14ac:dyDescent="0.35">
      <c r="A1462" t="s">
        <v>67</v>
      </c>
      <c r="B1462" t="s">
        <v>118</v>
      </c>
      <c r="C1462" t="s">
        <v>32</v>
      </c>
      <c r="D1462">
        <v>97</v>
      </c>
      <c r="E1462">
        <v>71</v>
      </c>
      <c r="F1462">
        <v>-26</v>
      </c>
      <c r="G1462">
        <v>-26.8</v>
      </c>
    </row>
    <row r="1463" spans="1:7" x14ac:dyDescent="0.35">
      <c r="A1463" t="s">
        <v>68</v>
      </c>
      <c r="B1463" t="s">
        <v>118</v>
      </c>
      <c r="C1463" t="s">
        <v>32</v>
      </c>
      <c r="D1463">
        <v>96</v>
      </c>
      <c r="E1463">
        <v>99</v>
      </c>
      <c r="F1463">
        <v>3</v>
      </c>
      <c r="G1463">
        <v>3.1</v>
      </c>
    </row>
    <row r="1464" spans="1:7" x14ac:dyDescent="0.35">
      <c r="A1464" t="s">
        <v>69</v>
      </c>
      <c r="B1464" t="s">
        <v>118</v>
      </c>
      <c r="C1464" t="s">
        <v>32</v>
      </c>
      <c r="D1464">
        <v>103</v>
      </c>
      <c r="E1464">
        <v>93</v>
      </c>
      <c r="F1464">
        <v>-10</v>
      </c>
      <c r="G1464">
        <v>-9.6999999999999993</v>
      </c>
    </row>
    <row r="1465" spans="1:7" x14ac:dyDescent="0.35">
      <c r="A1465" t="s">
        <v>70</v>
      </c>
      <c r="B1465" t="s">
        <v>118</v>
      </c>
      <c r="C1465" t="s">
        <v>32</v>
      </c>
      <c r="D1465">
        <v>94</v>
      </c>
      <c r="E1465">
        <v>86</v>
      </c>
      <c r="F1465">
        <v>-8</v>
      </c>
      <c r="G1465">
        <v>-8.5</v>
      </c>
    </row>
    <row r="1466" spans="1:7" x14ac:dyDescent="0.35">
      <c r="A1466" t="s">
        <v>71</v>
      </c>
      <c r="B1466" t="s">
        <v>118</v>
      </c>
      <c r="C1466" t="s">
        <v>32</v>
      </c>
      <c r="D1466">
        <v>93</v>
      </c>
      <c r="E1466">
        <v>89</v>
      </c>
      <c r="F1466">
        <v>-4</v>
      </c>
      <c r="G1466">
        <v>-4.3</v>
      </c>
    </row>
    <row r="1467" spans="1:7" x14ac:dyDescent="0.35">
      <c r="A1467" t="s">
        <v>72</v>
      </c>
      <c r="B1467" t="s">
        <v>118</v>
      </c>
      <c r="C1467" t="s">
        <v>32</v>
      </c>
      <c r="D1467">
        <v>96</v>
      </c>
      <c r="E1467">
        <v>78</v>
      </c>
      <c r="F1467">
        <v>-18</v>
      </c>
      <c r="G1467">
        <v>-18.8</v>
      </c>
    </row>
    <row r="1468" spans="1:7" x14ac:dyDescent="0.35">
      <c r="A1468" t="s">
        <v>73</v>
      </c>
      <c r="B1468" t="s">
        <v>118</v>
      </c>
      <c r="C1468" t="s">
        <v>32</v>
      </c>
      <c r="D1468">
        <v>105</v>
      </c>
      <c r="E1468">
        <v>120</v>
      </c>
      <c r="F1468">
        <v>15</v>
      </c>
      <c r="G1468">
        <v>14.3</v>
      </c>
    </row>
    <row r="1469" spans="1:7" x14ac:dyDescent="0.35">
      <c r="A1469" t="s">
        <v>74</v>
      </c>
      <c r="B1469" t="s">
        <v>118</v>
      </c>
      <c r="C1469" t="s">
        <v>32</v>
      </c>
      <c r="D1469">
        <v>121</v>
      </c>
      <c r="E1469">
        <v>132</v>
      </c>
      <c r="F1469">
        <v>11</v>
      </c>
      <c r="G1469">
        <v>9.1</v>
      </c>
    </row>
    <row r="1470" spans="1:7" x14ac:dyDescent="0.35">
      <c r="A1470" t="s">
        <v>75</v>
      </c>
      <c r="B1470" t="s">
        <v>118</v>
      </c>
      <c r="C1470" t="s">
        <v>32</v>
      </c>
      <c r="D1470">
        <v>113</v>
      </c>
      <c r="E1470">
        <v>106</v>
      </c>
      <c r="F1470">
        <v>-7</v>
      </c>
      <c r="G1470">
        <v>-6.2</v>
      </c>
    </row>
    <row r="1471" spans="1:7" x14ac:dyDescent="0.35">
      <c r="A1471" t="s">
        <v>76</v>
      </c>
      <c r="B1471" t="s">
        <v>118</v>
      </c>
      <c r="C1471" t="s">
        <v>32</v>
      </c>
      <c r="D1471">
        <v>117</v>
      </c>
      <c r="E1471">
        <v>93</v>
      </c>
      <c r="F1471">
        <v>-24</v>
      </c>
      <c r="G1471">
        <v>-20.5</v>
      </c>
    </row>
    <row r="1472" spans="1:7" x14ac:dyDescent="0.35">
      <c r="A1472" t="s">
        <v>77</v>
      </c>
      <c r="B1472" t="s">
        <v>118</v>
      </c>
      <c r="C1472" t="s">
        <v>32</v>
      </c>
      <c r="D1472">
        <v>119</v>
      </c>
      <c r="E1472">
        <v>141</v>
      </c>
      <c r="F1472">
        <v>22</v>
      </c>
      <c r="G1472">
        <v>18.5</v>
      </c>
    </row>
    <row r="1473" spans="1:7" x14ac:dyDescent="0.35">
      <c r="A1473" t="s">
        <v>78</v>
      </c>
      <c r="B1473" t="s">
        <v>118</v>
      </c>
      <c r="C1473" t="s">
        <v>32</v>
      </c>
      <c r="D1473">
        <v>126</v>
      </c>
      <c r="E1473">
        <v>133</v>
      </c>
      <c r="F1473">
        <v>7</v>
      </c>
      <c r="G1473">
        <v>5.6</v>
      </c>
    </row>
    <row r="1474" spans="1:7" x14ac:dyDescent="0.35">
      <c r="A1474" t="s">
        <v>79</v>
      </c>
      <c r="B1474" t="s">
        <v>118</v>
      </c>
      <c r="C1474" t="s">
        <v>32</v>
      </c>
      <c r="D1474">
        <v>116</v>
      </c>
      <c r="E1474">
        <v>98</v>
      </c>
      <c r="F1474">
        <v>-18</v>
      </c>
      <c r="G1474">
        <v>-15.5</v>
      </c>
    </row>
    <row r="1475" spans="1:7" x14ac:dyDescent="0.35">
      <c r="A1475" t="s">
        <v>80</v>
      </c>
      <c r="B1475" t="s">
        <v>118</v>
      </c>
      <c r="C1475" t="s">
        <v>32</v>
      </c>
      <c r="D1475">
        <v>137</v>
      </c>
      <c r="E1475">
        <v>115</v>
      </c>
      <c r="F1475">
        <v>-22</v>
      </c>
      <c r="G1475">
        <v>-16.100000000000001</v>
      </c>
    </row>
    <row r="1476" spans="1:7" x14ac:dyDescent="0.35">
      <c r="A1476" t="s">
        <v>81</v>
      </c>
      <c r="B1476" t="s">
        <v>118</v>
      </c>
      <c r="C1476" t="s">
        <v>32</v>
      </c>
      <c r="D1476">
        <v>126</v>
      </c>
      <c r="E1476">
        <v>160</v>
      </c>
      <c r="F1476">
        <v>34</v>
      </c>
      <c r="G1476">
        <v>27</v>
      </c>
    </row>
    <row r="1477" spans="1:7" x14ac:dyDescent="0.35">
      <c r="A1477" t="s">
        <v>82</v>
      </c>
      <c r="B1477" t="s">
        <v>118</v>
      </c>
      <c r="C1477" t="s">
        <v>32</v>
      </c>
      <c r="D1477">
        <v>122</v>
      </c>
      <c r="E1477">
        <v>112</v>
      </c>
      <c r="F1477">
        <v>-10</v>
      </c>
      <c r="G1477">
        <v>-8.1999999999999993</v>
      </c>
    </row>
    <row r="1478" spans="1:7" x14ac:dyDescent="0.35">
      <c r="A1478" t="s">
        <v>83</v>
      </c>
      <c r="B1478" t="s">
        <v>118</v>
      </c>
      <c r="C1478" t="s">
        <v>32</v>
      </c>
      <c r="D1478">
        <v>133</v>
      </c>
      <c r="E1478">
        <v>153</v>
      </c>
      <c r="F1478">
        <v>20</v>
      </c>
      <c r="G1478">
        <v>15</v>
      </c>
    </row>
    <row r="1479" spans="1:7" x14ac:dyDescent="0.35">
      <c r="A1479" t="s">
        <v>84</v>
      </c>
      <c r="B1479" t="s">
        <v>118</v>
      </c>
      <c r="C1479" t="s">
        <v>32</v>
      </c>
      <c r="D1479">
        <v>141</v>
      </c>
      <c r="E1479">
        <v>168</v>
      </c>
      <c r="F1479">
        <v>27</v>
      </c>
      <c r="G1479">
        <v>19.100000000000001</v>
      </c>
    </row>
    <row r="1480" spans="1:7" x14ac:dyDescent="0.35">
      <c r="A1480" t="s">
        <v>85</v>
      </c>
      <c r="B1480" t="s">
        <v>118</v>
      </c>
      <c r="C1480" t="s">
        <v>32</v>
      </c>
      <c r="D1480">
        <v>131</v>
      </c>
      <c r="E1480">
        <v>149</v>
      </c>
      <c r="F1480">
        <v>18</v>
      </c>
      <c r="G1480">
        <v>13.7</v>
      </c>
    </row>
    <row r="1481" spans="1:7" x14ac:dyDescent="0.35">
      <c r="A1481" t="s">
        <v>86</v>
      </c>
      <c r="B1481" t="s">
        <v>118</v>
      </c>
      <c r="C1481" t="s">
        <v>32</v>
      </c>
      <c r="D1481">
        <v>149</v>
      </c>
      <c r="E1481">
        <v>144</v>
      </c>
      <c r="F1481">
        <v>-5</v>
      </c>
      <c r="G1481">
        <v>-3.4</v>
      </c>
    </row>
    <row r="1482" spans="1:7" x14ac:dyDescent="0.35">
      <c r="A1482" t="s">
        <v>87</v>
      </c>
      <c r="B1482" t="s">
        <v>118</v>
      </c>
      <c r="C1482" t="s">
        <v>32</v>
      </c>
      <c r="D1482">
        <v>134</v>
      </c>
      <c r="E1482">
        <v>181</v>
      </c>
      <c r="F1482">
        <v>47</v>
      </c>
      <c r="G1482">
        <v>35.1</v>
      </c>
    </row>
    <row r="1483" spans="1:7" x14ac:dyDescent="0.35">
      <c r="A1483" t="s">
        <v>88</v>
      </c>
      <c r="B1483" t="s">
        <v>118</v>
      </c>
      <c r="C1483" t="s">
        <v>32</v>
      </c>
      <c r="D1483">
        <v>141</v>
      </c>
      <c r="E1483">
        <v>181</v>
      </c>
      <c r="F1483">
        <v>40</v>
      </c>
      <c r="G1483">
        <v>28.4</v>
      </c>
    </row>
    <row r="1484" spans="1:7" x14ac:dyDescent="0.35">
      <c r="A1484" t="s">
        <v>89</v>
      </c>
      <c r="B1484" t="s">
        <v>118</v>
      </c>
      <c r="C1484" t="s">
        <v>32</v>
      </c>
      <c r="D1484">
        <v>144</v>
      </c>
      <c r="E1484">
        <v>123</v>
      </c>
      <c r="F1484">
        <v>-21</v>
      </c>
      <c r="G1484">
        <v>-14.6</v>
      </c>
    </row>
    <row r="1485" spans="1:7" x14ac:dyDescent="0.35">
      <c r="A1485" t="s">
        <v>90</v>
      </c>
      <c r="B1485" t="s">
        <v>118</v>
      </c>
      <c r="C1485" t="s">
        <v>32</v>
      </c>
      <c r="D1485">
        <v>148</v>
      </c>
      <c r="E1485">
        <v>133</v>
      </c>
      <c r="F1485">
        <v>-15</v>
      </c>
      <c r="G1485">
        <v>-10.1</v>
      </c>
    </row>
    <row r="1486" spans="1:7" x14ac:dyDescent="0.35">
      <c r="A1486" t="s">
        <v>91</v>
      </c>
      <c r="B1486" t="s">
        <v>118</v>
      </c>
      <c r="C1486" t="s">
        <v>32</v>
      </c>
      <c r="D1486">
        <v>167</v>
      </c>
      <c r="E1486">
        <v>178</v>
      </c>
      <c r="F1486">
        <v>11</v>
      </c>
      <c r="G1486">
        <v>6.6</v>
      </c>
    </row>
    <row r="1487" spans="1:7" x14ac:dyDescent="0.35">
      <c r="A1487" t="s">
        <v>92</v>
      </c>
      <c r="B1487" t="s">
        <v>118</v>
      </c>
      <c r="C1487" t="s">
        <v>32</v>
      </c>
      <c r="D1487">
        <v>171</v>
      </c>
      <c r="E1487">
        <v>144</v>
      </c>
      <c r="F1487">
        <v>-27</v>
      </c>
      <c r="G1487">
        <v>-15.8</v>
      </c>
    </row>
    <row r="1488" spans="1:7" x14ac:dyDescent="0.35">
      <c r="A1488" t="s">
        <v>93</v>
      </c>
      <c r="B1488" t="s">
        <v>118</v>
      </c>
      <c r="C1488" t="s">
        <v>32</v>
      </c>
      <c r="D1488">
        <v>159</v>
      </c>
      <c r="E1488">
        <v>144</v>
      </c>
      <c r="F1488">
        <v>-15</v>
      </c>
      <c r="G1488">
        <v>-9.4</v>
      </c>
    </row>
    <row r="1489" spans="1:7" x14ac:dyDescent="0.35">
      <c r="A1489" t="s">
        <v>94</v>
      </c>
      <c r="B1489" t="s">
        <v>118</v>
      </c>
      <c r="C1489" t="s">
        <v>32</v>
      </c>
      <c r="D1489">
        <v>154</v>
      </c>
      <c r="E1489">
        <v>175</v>
      </c>
      <c r="F1489">
        <v>21</v>
      </c>
      <c r="G1489">
        <v>13.6</v>
      </c>
    </row>
    <row r="1490" spans="1:7" x14ac:dyDescent="0.35">
      <c r="A1490" t="s">
        <v>95</v>
      </c>
      <c r="B1490" t="s">
        <v>118</v>
      </c>
      <c r="C1490" t="s">
        <v>32</v>
      </c>
      <c r="D1490">
        <v>184</v>
      </c>
      <c r="E1490">
        <v>142</v>
      </c>
      <c r="F1490">
        <v>-42</v>
      </c>
      <c r="G1490">
        <v>-22.8</v>
      </c>
    </row>
    <row r="1491" spans="1:7" x14ac:dyDescent="0.35">
      <c r="A1491" t="s">
        <v>96</v>
      </c>
      <c r="B1491" t="s">
        <v>118</v>
      </c>
      <c r="C1491" t="s">
        <v>32</v>
      </c>
      <c r="D1491">
        <v>170</v>
      </c>
      <c r="E1491">
        <v>169</v>
      </c>
      <c r="F1491">
        <v>-1</v>
      </c>
      <c r="G1491">
        <v>-0.6</v>
      </c>
    </row>
    <row r="1492" spans="1:7" x14ac:dyDescent="0.35">
      <c r="A1492" t="s">
        <v>97</v>
      </c>
      <c r="B1492" t="s">
        <v>118</v>
      </c>
      <c r="C1492" t="s">
        <v>32</v>
      </c>
      <c r="D1492">
        <v>171</v>
      </c>
      <c r="E1492">
        <v>192</v>
      </c>
      <c r="F1492">
        <v>21</v>
      </c>
      <c r="G1492">
        <v>12.3</v>
      </c>
    </row>
    <row r="1493" spans="1:7" x14ac:dyDescent="0.35">
      <c r="A1493" t="s">
        <v>98</v>
      </c>
      <c r="B1493" t="s">
        <v>118</v>
      </c>
      <c r="C1493" t="s">
        <v>32</v>
      </c>
      <c r="D1493">
        <v>184</v>
      </c>
      <c r="E1493">
        <v>154</v>
      </c>
      <c r="F1493">
        <v>-30</v>
      </c>
      <c r="G1493">
        <v>-16.3</v>
      </c>
    </row>
    <row r="1494" spans="1:7" x14ac:dyDescent="0.35">
      <c r="A1494" t="s">
        <v>99</v>
      </c>
      <c r="B1494" t="s">
        <v>118</v>
      </c>
      <c r="C1494" t="s">
        <v>32</v>
      </c>
      <c r="D1494">
        <v>166</v>
      </c>
      <c r="E1494">
        <v>153</v>
      </c>
      <c r="F1494">
        <v>-13</v>
      </c>
      <c r="G1494">
        <v>-7.8</v>
      </c>
    </row>
    <row r="1495" spans="1:7" x14ac:dyDescent="0.35">
      <c r="A1495" t="s">
        <v>100</v>
      </c>
      <c r="B1495" t="s">
        <v>118</v>
      </c>
      <c r="C1495" t="s">
        <v>32</v>
      </c>
      <c r="D1495">
        <v>179</v>
      </c>
      <c r="E1495">
        <v>148</v>
      </c>
      <c r="F1495">
        <v>-31</v>
      </c>
      <c r="G1495">
        <v>-17.3</v>
      </c>
    </row>
    <row r="1496" spans="1:7" x14ac:dyDescent="0.35">
      <c r="A1496" t="s">
        <v>101</v>
      </c>
      <c r="B1496" t="s">
        <v>118</v>
      </c>
      <c r="C1496" t="s">
        <v>32</v>
      </c>
      <c r="D1496">
        <v>203</v>
      </c>
      <c r="E1496">
        <v>171</v>
      </c>
      <c r="F1496">
        <v>-32</v>
      </c>
      <c r="G1496">
        <v>-15.8</v>
      </c>
    </row>
    <row r="1497" spans="1:7" x14ac:dyDescent="0.35">
      <c r="A1497" t="s">
        <v>102</v>
      </c>
      <c r="B1497" t="s">
        <v>118</v>
      </c>
      <c r="C1497" t="s">
        <v>32</v>
      </c>
      <c r="D1497">
        <v>189</v>
      </c>
      <c r="E1497">
        <v>192</v>
      </c>
      <c r="F1497">
        <v>3</v>
      </c>
      <c r="G1497">
        <v>1.6</v>
      </c>
    </row>
    <row r="1498" spans="1:7" x14ac:dyDescent="0.35">
      <c r="A1498" t="s">
        <v>103</v>
      </c>
      <c r="B1498" t="s">
        <v>118</v>
      </c>
      <c r="C1498" t="s">
        <v>32</v>
      </c>
      <c r="D1498">
        <v>202</v>
      </c>
      <c r="E1498">
        <v>155</v>
      </c>
      <c r="F1498">
        <v>-47</v>
      </c>
      <c r="G1498">
        <v>-23.3</v>
      </c>
    </row>
    <row r="1499" spans="1:7" x14ac:dyDescent="0.35">
      <c r="A1499" t="s">
        <v>104</v>
      </c>
      <c r="B1499" t="s">
        <v>118</v>
      </c>
      <c r="C1499" t="s">
        <v>32</v>
      </c>
      <c r="D1499">
        <v>197</v>
      </c>
      <c r="E1499">
        <v>165</v>
      </c>
      <c r="F1499">
        <v>-32</v>
      </c>
      <c r="G1499">
        <v>-16.2</v>
      </c>
    </row>
    <row r="1500" spans="1:7" x14ac:dyDescent="0.35">
      <c r="A1500" t="s">
        <v>105</v>
      </c>
      <c r="B1500" t="s">
        <v>118</v>
      </c>
      <c r="C1500" t="s">
        <v>32</v>
      </c>
      <c r="D1500">
        <v>211</v>
      </c>
      <c r="E1500">
        <v>183</v>
      </c>
      <c r="F1500">
        <v>-28</v>
      </c>
      <c r="G1500">
        <v>-13.3</v>
      </c>
    </row>
    <row r="1501" spans="1:7" x14ac:dyDescent="0.35">
      <c r="A1501" t="s">
        <v>106</v>
      </c>
      <c r="B1501" t="s">
        <v>118</v>
      </c>
      <c r="C1501" t="s">
        <v>32</v>
      </c>
      <c r="D1501">
        <v>193</v>
      </c>
      <c r="E1501">
        <v>172</v>
      </c>
      <c r="F1501">
        <v>-21</v>
      </c>
      <c r="G1501">
        <v>-10.9</v>
      </c>
    </row>
    <row r="1502" spans="1:7" x14ac:dyDescent="0.35">
      <c r="A1502" t="s">
        <v>107</v>
      </c>
      <c r="B1502" t="s">
        <v>118</v>
      </c>
      <c r="C1502" t="s">
        <v>32</v>
      </c>
      <c r="D1502">
        <v>194</v>
      </c>
      <c r="E1502">
        <v>169</v>
      </c>
      <c r="F1502">
        <v>-25</v>
      </c>
      <c r="G1502">
        <v>-12.9</v>
      </c>
    </row>
    <row r="1503" spans="1:7" x14ac:dyDescent="0.35">
      <c r="A1503" t="s">
        <v>108</v>
      </c>
      <c r="B1503" t="s">
        <v>118</v>
      </c>
      <c r="C1503" t="s">
        <v>32</v>
      </c>
      <c r="D1503">
        <v>186</v>
      </c>
      <c r="E1503">
        <v>153</v>
      </c>
      <c r="F1503">
        <v>-33</v>
      </c>
      <c r="G1503">
        <v>-17.7</v>
      </c>
    </row>
    <row r="1504" spans="1:7" x14ac:dyDescent="0.35">
      <c r="A1504" t="s">
        <v>109</v>
      </c>
      <c r="B1504" t="s">
        <v>118</v>
      </c>
      <c r="C1504" t="s">
        <v>32</v>
      </c>
      <c r="D1504">
        <v>205</v>
      </c>
      <c r="E1504">
        <v>212</v>
      </c>
      <c r="F1504">
        <v>7</v>
      </c>
      <c r="G1504">
        <v>3.4</v>
      </c>
    </row>
    <row r="1505" spans="1:7" x14ac:dyDescent="0.35">
      <c r="A1505" t="s">
        <v>110</v>
      </c>
      <c r="B1505" t="s">
        <v>118</v>
      </c>
      <c r="C1505" t="s">
        <v>32</v>
      </c>
      <c r="D1505">
        <v>179</v>
      </c>
      <c r="E1505">
        <v>180</v>
      </c>
      <c r="F1505">
        <v>1</v>
      </c>
      <c r="G1505">
        <v>0.6</v>
      </c>
    </row>
    <row r="1506" spans="1:7" x14ac:dyDescent="0.35">
      <c r="A1506" t="s">
        <v>111</v>
      </c>
      <c r="B1506" t="s">
        <v>118</v>
      </c>
      <c r="C1506" t="s">
        <v>32</v>
      </c>
      <c r="D1506">
        <v>197</v>
      </c>
      <c r="E1506">
        <v>242</v>
      </c>
      <c r="F1506">
        <v>45</v>
      </c>
      <c r="G1506">
        <v>22.8</v>
      </c>
    </row>
    <row r="1507" spans="1:7" x14ac:dyDescent="0.35">
      <c r="A1507" t="s">
        <v>112</v>
      </c>
      <c r="B1507" t="s">
        <v>118</v>
      </c>
      <c r="C1507" t="s">
        <v>32</v>
      </c>
      <c r="D1507">
        <v>199</v>
      </c>
      <c r="E1507">
        <v>201</v>
      </c>
      <c r="F1507">
        <v>2</v>
      </c>
      <c r="G1507">
        <v>1</v>
      </c>
    </row>
    <row r="1508" spans="1:7" x14ac:dyDescent="0.35">
      <c r="A1508" t="s">
        <v>113</v>
      </c>
      <c r="B1508" t="s">
        <v>118</v>
      </c>
      <c r="C1508" t="s">
        <v>32</v>
      </c>
      <c r="D1508">
        <v>209</v>
      </c>
      <c r="E1508">
        <v>227</v>
      </c>
      <c r="F1508">
        <v>18</v>
      </c>
      <c r="G1508">
        <v>8.6</v>
      </c>
    </row>
    <row r="1509" spans="1:7" x14ac:dyDescent="0.35">
      <c r="A1509" t="s">
        <v>114</v>
      </c>
      <c r="B1509" t="s">
        <v>118</v>
      </c>
      <c r="C1509" t="s">
        <v>32</v>
      </c>
      <c r="D1509">
        <v>192</v>
      </c>
      <c r="E1509">
        <v>199</v>
      </c>
      <c r="F1509">
        <v>7</v>
      </c>
      <c r="G1509">
        <v>3.6</v>
      </c>
    </row>
    <row r="1510" spans="1:7" x14ac:dyDescent="0.35">
      <c r="A1510" t="s">
        <v>62</v>
      </c>
      <c r="B1510" t="s">
        <v>118</v>
      </c>
      <c r="C1510" t="s">
        <v>37</v>
      </c>
      <c r="D1510">
        <v>65</v>
      </c>
      <c r="E1510">
        <v>55</v>
      </c>
      <c r="F1510">
        <v>-10</v>
      </c>
      <c r="G1510">
        <v>-15.4</v>
      </c>
    </row>
    <row r="1511" spans="1:7" x14ac:dyDescent="0.35">
      <c r="A1511" t="s">
        <v>64</v>
      </c>
      <c r="B1511" t="s">
        <v>118</v>
      </c>
      <c r="C1511" t="s">
        <v>37</v>
      </c>
      <c r="D1511">
        <v>64</v>
      </c>
      <c r="E1511">
        <v>63</v>
      </c>
      <c r="F1511">
        <v>-1</v>
      </c>
      <c r="G1511">
        <v>-1.6</v>
      </c>
    </row>
    <row r="1512" spans="1:7" x14ac:dyDescent="0.35">
      <c r="A1512" t="s">
        <v>65</v>
      </c>
      <c r="B1512" t="s">
        <v>118</v>
      </c>
      <c r="C1512" t="s">
        <v>37</v>
      </c>
      <c r="D1512">
        <v>74</v>
      </c>
      <c r="E1512">
        <v>53</v>
      </c>
      <c r="F1512">
        <v>-21</v>
      </c>
      <c r="G1512">
        <v>-28.4</v>
      </c>
    </row>
    <row r="1513" spans="1:7" x14ac:dyDescent="0.35">
      <c r="A1513" t="s">
        <v>66</v>
      </c>
      <c r="B1513" t="s">
        <v>118</v>
      </c>
      <c r="C1513" t="s">
        <v>37</v>
      </c>
      <c r="D1513">
        <v>72</v>
      </c>
      <c r="E1513">
        <v>72</v>
      </c>
      <c r="F1513">
        <v>0</v>
      </c>
      <c r="G1513">
        <v>0</v>
      </c>
    </row>
    <row r="1514" spans="1:7" x14ac:dyDescent="0.35">
      <c r="A1514" t="s">
        <v>67</v>
      </c>
      <c r="B1514" t="s">
        <v>118</v>
      </c>
      <c r="C1514" t="s">
        <v>37</v>
      </c>
      <c r="D1514">
        <v>75</v>
      </c>
      <c r="E1514">
        <v>91</v>
      </c>
      <c r="F1514">
        <v>16</v>
      </c>
      <c r="G1514">
        <v>21.3</v>
      </c>
    </row>
    <row r="1515" spans="1:7" x14ac:dyDescent="0.35">
      <c r="A1515" t="s">
        <v>68</v>
      </c>
      <c r="B1515" t="s">
        <v>118</v>
      </c>
      <c r="C1515" t="s">
        <v>37</v>
      </c>
      <c r="D1515">
        <v>71</v>
      </c>
      <c r="E1515">
        <v>93</v>
      </c>
      <c r="F1515">
        <v>22</v>
      </c>
      <c r="G1515">
        <v>31</v>
      </c>
    </row>
    <row r="1516" spans="1:7" x14ac:dyDescent="0.35">
      <c r="A1516" t="s">
        <v>69</v>
      </c>
      <c r="B1516" t="s">
        <v>118</v>
      </c>
      <c r="C1516" t="s">
        <v>37</v>
      </c>
      <c r="D1516">
        <v>78</v>
      </c>
      <c r="E1516">
        <v>96</v>
      </c>
      <c r="F1516">
        <v>18</v>
      </c>
      <c r="G1516">
        <v>23.1</v>
      </c>
    </row>
    <row r="1517" spans="1:7" x14ac:dyDescent="0.35">
      <c r="A1517" t="s">
        <v>70</v>
      </c>
      <c r="B1517" t="s">
        <v>118</v>
      </c>
      <c r="C1517" t="s">
        <v>37</v>
      </c>
      <c r="D1517">
        <v>75</v>
      </c>
      <c r="E1517">
        <v>69</v>
      </c>
      <c r="F1517">
        <v>-6</v>
      </c>
      <c r="G1517">
        <v>-8</v>
      </c>
    </row>
    <row r="1518" spans="1:7" x14ac:dyDescent="0.35">
      <c r="A1518" t="s">
        <v>71</v>
      </c>
      <c r="B1518" t="s">
        <v>118</v>
      </c>
      <c r="C1518" t="s">
        <v>37</v>
      </c>
      <c r="D1518">
        <v>78</v>
      </c>
      <c r="E1518">
        <v>64</v>
      </c>
      <c r="F1518">
        <v>-14</v>
      </c>
      <c r="G1518">
        <v>-17.899999999999999</v>
      </c>
    </row>
    <row r="1519" spans="1:7" x14ac:dyDescent="0.35">
      <c r="A1519" t="s">
        <v>72</v>
      </c>
      <c r="B1519" t="s">
        <v>118</v>
      </c>
      <c r="C1519" t="s">
        <v>37</v>
      </c>
      <c r="D1519">
        <v>78</v>
      </c>
      <c r="E1519">
        <v>94</v>
      </c>
      <c r="F1519">
        <v>16</v>
      </c>
      <c r="G1519">
        <v>20.5</v>
      </c>
    </row>
    <row r="1520" spans="1:7" x14ac:dyDescent="0.35">
      <c r="A1520" t="s">
        <v>73</v>
      </c>
      <c r="B1520" t="s">
        <v>118</v>
      </c>
      <c r="C1520" t="s">
        <v>37</v>
      </c>
      <c r="D1520">
        <v>83</v>
      </c>
      <c r="E1520">
        <v>102</v>
      </c>
      <c r="F1520">
        <v>19</v>
      </c>
      <c r="G1520">
        <v>22.9</v>
      </c>
    </row>
    <row r="1521" spans="1:7" x14ac:dyDescent="0.35">
      <c r="A1521" t="s">
        <v>74</v>
      </c>
      <c r="B1521" t="s">
        <v>118</v>
      </c>
      <c r="C1521" t="s">
        <v>37</v>
      </c>
      <c r="D1521">
        <v>84</v>
      </c>
      <c r="E1521">
        <v>95</v>
      </c>
      <c r="F1521">
        <v>11</v>
      </c>
      <c r="G1521">
        <v>13.1</v>
      </c>
    </row>
    <row r="1522" spans="1:7" x14ac:dyDescent="0.35">
      <c r="A1522" t="s">
        <v>75</v>
      </c>
      <c r="B1522" t="s">
        <v>118</v>
      </c>
      <c r="C1522" t="s">
        <v>37</v>
      </c>
      <c r="D1522">
        <v>90</v>
      </c>
      <c r="E1522">
        <v>103</v>
      </c>
      <c r="F1522">
        <v>13</v>
      </c>
      <c r="G1522">
        <v>14.4</v>
      </c>
    </row>
    <row r="1523" spans="1:7" x14ac:dyDescent="0.35">
      <c r="A1523" t="s">
        <v>76</v>
      </c>
      <c r="B1523" t="s">
        <v>118</v>
      </c>
      <c r="C1523" t="s">
        <v>37</v>
      </c>
      <c r="D1523">
        <v>101</v>
      </c>
      <c r="E1523">
        <v>76</v>
      </c>
      <c r="F1523">
        <v>-25</v>
      </c>
      <c r="G1523">
        <v>-24.8</v>
      </c>
    </row>
    <row r="1524" spans="1:7" x14ac:dyDescent="0.35">
      <c r="A1524" t="s">
        <v>77</v>
      </c>
      <c r="B1524" t="s">
        <v>118</v>
      </c>
      <c r="C1524" t="s">
        <v>37</v>
      </c>
      <c r="D1524">
        <v>99</v>
      </c>
      <c r="E1524">
        <v>100</v>
      </c>
      <c r="F1524">
        <v>1</v>
      </c>
      <c r="G1524">
        <v>1</v>
      </c>
    </row>
    <row r="1525" spans="1:7" x14ac:dyDescent="0.35">
      <c r="A1525" t="s">
        <v>78</v>
      </c>
      <c r="B1525" t="s">
        <v>118</v>
      </c>
      <c r="C1525" t="s">
        <v>37</v>
      </c>
      <c r="D1525">
        <v>107</v>
      </c>
      <c r="E1525">
        <v>101</v>
      </c>
      <c r="F1525">
        <v>-6</v>
      </c>
      <c r="G1525">
        <v>-5.6</v>
      </c>
    </row>
    <row r="1526" spans="1:7" x14ac:dyDescent="0.35">
      <c r="A1526" t="s">
        <v>79</v>
      </c>
      <c r="B1526" t="s">
        <v>118</v>
      </c>
      <c r="C1526" t="s">
        <v>37</v>
      </c>
      <c r="D1526">
        <v>111</v>
      </c>
      <c r="E1526">
        <v>77</v>
      </c>
      <c r="F1526">
        <v>-34</v>
      </c>
      <c r="G1526">
        <v>-30.6</v>
      </c>
    </row>
    <row r="1527" spans="1:7" x14ac:dyDescent="0.35">
      <c r="A1527" t="s">
        <v>80</v>
      </c>
      <c r="B1527" t="s">
        <v>118</v>
      </c>
      <c r="C1527" t="s">
        <v>37</v>
      </c>
      <c r="D1527">
        <v>109</v>
      </c>
      <c r="E1527">
        <v>110</v>
      </c>
      <c r="F1527">
        <v>1</v>
      </c>
      <c r="G1527">
        <v>0.9</v>
      </c>
    </row>
    <row r="1528" spans="1:7" x14ac:dyDescent="0.35">
      <c r="A1528" t="s">
        <v>81</v>
      </c>
      <c r="B1528" t="s">
        <v>118</v>
      </c>
      <c r="C1528" t="s">
        <v>37</v>
      </c>
      <c r="D1528">
        <v>113</v>
      </c>
      <c r="E1528">
        <v>86</v>
      </c>
      <c r="F1528">
        <v>-27</v>
      </c>
      <c r="G1528">
        <v>-23.9</v>
      </c>
    </row>
    <row r="1529" spans="1:7" x14ac:dyDescent="0.35">
      <c r="A1529" t="s">
        <v>82</v>
      </c>
      <c r="B1529" t="s">
        <v>118</v>
      </c>
      <c r="C1529" t="s">
        <v>37</v>
      </c>
      <c r="D1529">
        <v>102</v>
      </c>
      <c r="E1529">
        <v>113</v>
      </c>
      <c r="F1529">
        <v>11</v>
      </c>
      <c r="G1529">
        <v>10.8</v>
      </c>
    </row>
    <row r="1530" spans="1:7" x14ac:dyDescent="0.35">
      <c r="A1530" t="s">
        <v>83</v>
      </c>
      <c r="B1530" t="s">
        <v>118</v>
      </c>
      <c r="C1530" t="s">
        <v>37</v>
      </c>
      <c r="D1530">
        <v>114</v>
      </c>
      <c r="E1530">
        <v>138</v>
      </c>
      <c r="F1530">
        <v>24</v>
      </c>
      <c r="G1530">
        <v>21.1</v>
      </c>
    </row>
    <row r="1531" spans="1:7" x14ac:dyDescent="0.35">
      <c r="A1531" t="s">
        <v>84</v>
      </c>
      <c r="B1531" t="s">
        <v>118</v>
      </c>
      <c r="C1531" t="s">
        <v>37</v>
      </c>
      <c r="D1531">
        <v>105</v>
      </c>
      <c r="E1531">
        <v>92</v>
      </c>
      <c r="F1531">
        <v>-13</v>
      </c>
      <c r="G1531">
        <v>-12.4</v>
      </c>
    </row>
    <row r="1532" spans="1:7" x14ac:dyDescent="0.35">
      <c r="A1532" t="s">
        <v>85</v>
      </c>
      <c r="B1532" t="s">
        <v>118</v>
      </c>
      <c r="C1532" t="s">
        <v>37</v>
      </c>
      <c r="D1532">
        <v>124</v>
      </c>
      <c r="E1532">
        <v>134</v>
      </c>
      <c r="F1532">
        <v>10</v>
      </c>
      <c r="G1532">
        <v>8.1</v>
      </c>
    </row>
    <row r="1533" spans="1:7" x14ac:dyDescent="0.35">
      <c r="A1533" t="s">
        <v>86</v>
      </c>
      <c r="B1533" t="s">
        <v>118</v>
      </c>
      <c r="C1533" t="s">
        <v>37</v>
      </c>
      <c r="D1533">
        <v>128</v>
      </c>
      <c r="E1533">
        <v>142</v>
      </c>
      <c r="F1533">
        <v>14</v>
      </c>
      <c r="G1533">
        <v>10.9</v>
      </c>
    </row>
    <row r="1534" spans="1:7" x14ac:dyDescent="0.35">
      <c r="A1534" t="s">
        <v>87</v>
      </c>
      <c r="B1534" t="s">
        <v>118</v>
      </c>
      <c r="C1534" t="s">
        <v>37</v>
      </c>
      <c r="D1534">
        <v>131</v>
      </c>
      <c r="E1534">
        <v>107</v>
      </c>
      <c r="F1534">
        <v>-24</v>
      </c>
      <c r="G1534">
        <v>-18.3</v>
      </c>
    </row>
    <row r="1535" spans="1:7" x14ac:dyDescent="0.35">
      <c r="A1535" t="s">
        <v>88</v>
      </c>
      <c r="B1535" t="s">
        <v>118</v>
      </c>
      <c r="C1535" t="s">
        <v>37</v>
      </c>
      <c r="D1535">
        <v>128</v>
      </c>
      <c r="E1535">
        <v>129</v>
      </c>
      <c r="F1535">
        <v>1</v>
      </c>
      <c r="G1535">
        <v>0.8</v>
      </c>
    </row>
    <row r="1536" spans="1:7" x14ac:dyDescent="0.35">
      <c r="A1536" t="s">
        <v>89</v>
      </c>
      <c r="B1536" t="s">
        <v>118</v>
      </c>
      <c r="C1536" t="s">
        <v>37</v>
      </c>
      <c r="D1536">
        <v>126</v>
      </c>
      <c r="E1536">
        <v>106</v>
      </c>
      <c r="F1536">
        <v>-20</v>
      </c>
      <c r="G1536">
        <v>-15.9</v>
      </c>
    </row>
    <row r="1537" spans="1:7" x14ac:dyDescent="0.35">
      <c r="A1537" t="s">
        <v>90</v>
      </c>
      <c r="B1537" t="s">
        <v>118</v>
      </c>
      <c r="C1537" t="s">
        <v>37</v>
      </c>
      <c r="D1537">
        <v>127</v>
      </c>
      <c r="E1537">
        <v>137</v>
      </c>
      <c r="F1537">
        <v>10</v>
      </c>
      <c r="G1537">
        <v>7.9</v>
      </c>
    </row>
    <row r="1538" spans="1:7" x14ac:dyDescent="0.35">
      <c r="A1538" t="s">
        <v>91</v>
      </c>
      <c r="B1538" t="s">
        <v>118</v>
      </c>
      <c r="C1538" t="s">
        <v>37</v>
      </c>
      <c r="D1538">
        <v>136</v>
      </c>
      <c r="E1538">
        <v>125</v>
      </c>
      <c r="F1538">
        <v>-11</v>
      </c>
      <c r="G1538">
        <v>-8.1</v>
      </c>
    </row>
    <row r="1539" spans="1:7" x14ac:dyDescent="0.35">
      <c r="A1539" t="s">
        <v>92</v>
      </c>
      <c r="B1539" t="s">
        <v>118</v>
      </c>
      <c r="C1539" t="s">
        <v>37</v>
      </c>
      <c r="D1539">
        <v>131</v>
      </c>
      <c r="E1539">
        <v>159</v>
      </c>
      <c r="F1539">
        <v>28</v>
      </c>
      <c r="G1539">
        <v>21.4</v>
      </c>
    </row>
    <row r="1540" spans="1:7" x14ac:dyDescent="0.35">
      <c r="A1540" t="s">
        <v>93</v>
      </c>
      <c r="B1540" t="s">
        <v>118</v>
      </c>
      <c r="C1540" t="s">
        <v>37</v>
      </c>
      <c r="D1540">
        <v>142</v>
      </c>
      <c r="E1540">
        <v>106</v>
      </c>
      <c r="F1540">
        <v>-36</v>
      </c>
      <c r="G1540">
        <v>-25.4</v>
      </c>
    </row>
    <row r="1541" spans="1:7" x14ac:dyDescent="0.35">
      <c r="A1541" t="s">
        <v>94</v>
      </c>
      <c r="B1541" t="s">
        <v>118</v>
      </c>
      <c r="C1541" t="s">
        <v>37</v>
      </c>
      <c r="D1541">
        <v>138</v>
      </c>
      <c r="E1541">
        <v>123</v>
      </c>
      <c r="F1541">
        <v>-15</v>
      </c>
      <c r="G1541">
        <v>-10.9</v>
      </c>
    </row>
    <row r="1542" spans="1:7" x14ac:dyDescent="0.35">
      <c r="A1542" t="s">
        <v>95</v>
      </c>
      <c r="B1542" t="s">
        <v>118</v>
      </c>
      <c r="C1542" t="s">
        <v>37</v>
      </c>
      <c r="D1542">
        <v>138</v>
      </c>
      <c r="E1542">
        <v>130</v>
      </c>
      <c r="F1542">
        <v>-8</v>
      </c>
      <c r="G1542">
        <v>-5.8</v>
      </c>
    </row>
    <row r="1543" spans="1:7" x14ac:dyDescent="0.35">
      <c r="A1543" t="s">
        <v>96</v>
      </c>
      <c r="B1543" t="s">
        <v>118</v>
      </c>
      <c r="C1543" t="s">
        <v>37</v>
      </c>
      <c r="D1543">
        <v>152</v>
      </c>
      <c r="E1543">
        <v>130</v>
      </c>
      <c r="F1543">
        <v>-22</v>
      </c>
      <c r="G1543">
        <v>-14.5</v>
      </c>
    </row>
    <row r="1544" spans="1:7" x14ac:dyDescent="0.35">
      <c r="A1544" t="s">
        <v>97</v>
      </c>
      <c r="B1544" t="s">
        <v>118</v>
      </c>
      <c r="C1544" t="s">
        <v>37</v>
      </c>
      <c r="D1544">
        <v>156</v>
      </c>
      <c r="E1544">
        <v>172</v>
      </c>
      <c r="F1544">
        <v>16</v>
      </c>
      <c r="G1544">
        <v>10.3</v>
      </c>
    </row>
    <row r="1545" spans="1:7" x14ac:dyDescent="0.35">
      <c r="A1545" t="s">
        <v>98</v>
      </c>
      <c r="B1545" t="s">
        <v>118</v>
      </c>
      <c r="C1545" t="s">
        <v>37</v>
      </c>
      <c r="D1545">
        <v>154</v>
      </c>
      <c r="E1545">
        <v>184</v>
      </c>
      <c r="F1545">
        <v>30</v>
      </c>
      <c r="G1545">
        <v>19.5</v>
      </c>
    </row>
    <row r="1546" spans="1:7" x14ac:dyDescent="0.35">
      <c r="A1546" t="s">
        <v>99</v>
      </c>
      <c r="B1546" t="s">
        <v>118</v>
      </c>
      <c r="C1546" t="s">
        <v>37</v>
      </c>
      <c r="D1546">
        <v>143</v>
      </c>
      <c r="E1546">
        <v>136</v>
      </c>
      <c r="F1546">
        <v>-7</v>
      </c>
      <c r="G1546">
        <v>-4.9000000000000004</v>
      </c>
    </row>
    <row r="1547" spans="1:7" x14ac:dyDescent="0.35">
      <c r="A1547" t="s">
        <v>100</v>
      </c>
      <c r="B1547" t="s">
        <v>118</v>
      </c>
      <c r="C1547" t="s">
        <v>37</v>
      </c>
      <c r="D1547">
        <v>161</v>
      </c>
      <c r="E1547">
        <v>174</v>
      </c>
      <c r="F1547">
        <v>13</v>
      </c>
      <c r="G1547">
        <v>8.1</v>
      </c>
    </row>
    <row r="1548" spans="1:7" x14ac:dyDescent="0.35">
      <c r="A1548" t="s">
        <v>101</v>
      </c>
      <c r="B1548" t="s">
        <v>118</v>
      </c>
      <c r="C1548" t="s">
        <v>37</v>
      </c>
      <c r="D1548">
        <v>150</v>
      </c>
      <c r="E1548">
        <v>174</v>
      </c>
      <c r="F1548">
        <v>24</v>
      </c>
      <c r="G1548">
        <v>16</v>
      </c>
    </row>
    <row r="1549" spans="1:7" x14ac:dyDescent="0.35">
      <c r="A1549" t="s">
        <v>102</v>
      </c>
      <c r="B1549" t="s">
        <v>118</v>
      </c>
      <c r="C1549" t="s">
        <v>37</v>
      </c>
      <c r="D1549">
        <v>161</v>
      </c>
      <c r="E1549">
        <v>126</v>
      </c>
      <c r="F1549">
        <v>-35</v>
      </c>
      <c r="G1549">
        <v>-21.7</v>
      </c>
    </row>
    <row r="1550" spans="1:7" x14ac:dyDescent="0.35">
      <c r="A1550" t="s">
        <v>103</v>
      </c>
      <c r="B1550" t="s">
        <v>118</v>
      </c>
      <c r="C1550" t="s">
        <v>37</v>
      </c>
      <c r="D1550">
        <v>159</v>
      </c>
      <c r="E1550">
        <v>194</v>
      </c>
      <c r="F1550">
        <v>35</v>
      </c>
      <c r="G1550">
        <v>22</v>
      </c>
    </row>
    <row r="1551" spans="1:7" x14ac:dyDescent="0.35">
      <c r="A1551" t="s">
        <v>104</v>
      </c>
      <c r="B1551" t="s">
        <v>118</v>
      </c>
      <c r="C1551" t="s">
        <v>37</v>
      </c>
      <c r="D1551">
        <v>158</v>
      </c>
      <c r="E1551">
        <v>159</v>
      </c>
      <c r="F1551">
        <v>1</v>
      </c>
      <c r="G1551">
        <v>0.6</v>
      </c>
    </row>
    <row r="1552" spans="1:7" x14ac:dyDescent="0.35">
      <c r="A1552" t="s">
        <v>105</v>
      </c>
      <c r="B1552" t="s">
        <v>118</v>
      </c>
      <c r="C1552" t="s">
        <v>37</v>
      </c>
      <c r="D1552">
        <v>161</v>
      </c>
      <c r="E1552">
        <v>150</v>
      </c>
      <c r="F1552">
        <v>-11</v>
      </c>
      <c r="G1552">
        <v>-6.8</v>
      </c>
    </row>
    <row r="1553" spans="1:7" x14ac:dyDescent="0.35">
      <c r="A1553" t="s">
        <v>106</v>
      </c>
      <c r="B1553" t="s">
        <v>118</v>
      </c>
      <c r="C1553" t="s">
        <v>37</v>
      </c>
      <c r="D1553">
        <v>146</v>
      </c>
      <c r="E1553">
        <v>184</v>
      </c>
      <c r="F1553">
        <v>38</v>
      </c>
      <c r="G1553">
        <v>26</v>
      </c>
    </row>
    <row r="1554" spans="1:7" x14ac:dyDescent="0.35">
      <c r="A1554" t="s">
        <v>107</v>
      </c>
      <c r="B1554" t="s">
        <v>118</v>
      </c>
      <c r="C1554" t="s">
        <v>37</v>
      </c>
      <c r="D1554">
        <v>147</v>
      </c>
      <c r="E1554">
        <v>177</v>
      </c>
      <c r="F1554">
        <v>30</v>
      </c>
      <c r="G1554">
        <v>20.399999999999999</v>
      </c>
    </row>
    <row r="1555" spans="1:7" x14ac:dyDescent="0.35">
      <c r="A1555" t="s">
        <v>108</v>
      </c>
      <c r="B1555" t="s">
        <v>118</v>
      </c>
      <c r="C1555" t="s">
        <v>37</v>
      </c>
      <c r="D1555">
        <v>157</v>
      </c>
      <c r="E1555">
        <v>183</v>
      </c>
      <c r="F1555">
        <v>26</v>
      </c>
      <c r="G1555">
        <v>16.600000000000001</v>
      </c>
    </row>
    <row r="1556" spans="1:7" x14ac:dyDescent="0.35">
      <c r="A1556" t="s">
        <v>109</v>
      </c>
      <c r="B1556" t="s">
        <v>118</v>
      </c>
      <c r="C1556" t="s">
        <v>37</v>
      </c>
      <c r="D1556">
        <v>161</v>
      </c>
      <c r="E1556">
        <v>166</v>
      </c>
      <c r="F1556">
        <v>5</v>
      </c>
      <c r="G1556">
        <v>3.1</v>
      </c>
    </row>
    <row r="1557" spans="1:7" x14ac:dyDescent="0.35">
      <c r="A1557" t="s">
        <v>110</v>
      </c>
      <c r="B1557" t="s">
        <v>118</v>
      </c>
      <c r="C1557" t="s">
        <v>37</v>
      </c>
      <c r="D1557">
        <v>150</v>
      </c>
      <c r="E1557">
        <v>191</v>
      </c>
      <c r="F1557">
        <v>41</v>
      </c>
      <c r="G1557">
        <v>27.3</v>
      </c>
    </row>
    <row r="1558" spans="1:7" x14ac:dyDescent="0.35">
      <c r="A1558" t="s">
        <v>111</v>
      </c>
      <c r="B1558" t="s">
        <v>118</v>
      </c>
      <c r="C1558" t="s">
        <v>37</v>
      </c>
      <c r="D1558">
        <v>151</v>
      </c>
      <c r="E1558">
        <v>125</v>
      </c>
      <c r="F1558">
        <v>-26</v>
      </c>
      <c r="G1558">
        <v>-17.2</v>
      </c>
    </row>
    <row r="1559" spans="1:7" x14ac:dyDescent="0.35">
      <c r="A1559" t="s">
        <v>112</v>
      </c>
      <c r="B1559" t="s">
        <v>118</v>
      </c>
      <c r="C1559" t="s">
        <v>37</v>
      </c>
      <c r="D1559">
        <v>145</v>
      </c>
      <c r="E1559">
        <v>124</v>
      </c>
      <c r="F1559">
        <v>-21</v>
      </c>
      <c r="G1559">
        <v>-14.5</v>
      </c>
    </row>
    <row r="1560" spans="1:7" x14ac:dyDescent="0.35">
      <c r="A1560" t="s">
        <v>113</v>
      </c>
      <c r="B1560" t="s">
        <v>118</v>
      </c>
      <c r="C1560" t="s">
        <v>37</v>
      </c>
      <c r="D1560">
        <v>156</v>
      </c>
      <c r="E1560">
        <v>136</v>
      </c>
      <c r="F1560">
        <v>-20</v>
      </c>
      <c r="G1560">
        <v>-12.8</v>
      </c>
    </row>
    <row r="1561" spans="1:7" x14ac:dyDescent="0.35">
      <c r="A1561" t="s">
        <v>114</v>
      </c>
      <c r="B1561" t="s">
        <v>118</v>
      </c>
      <c r="C1561" t="s">
        <v>37</v>
      </c>
      <c r="D1561">
        <v>156</v>
      </c>
      <c r="E1561">
        <v>158</v>
      </c>
      <c r="F1561">
        <v>2</v>
      </c>
      <c r="G1561">
        <v>1.3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topLeftCell="A49" workbookViewId="0">
      <selection sqref="A1:K81"/>
    </sheetView>
  </sheetViews>
  <sheetFormatPr defaultRowHeight="14.5" x14ac:dyDescent="0.35"/>
  <cols>
    <col min="1" max="1" width="9.1796875" customWidth="1"/>
    <col min="2" max="2" width="14.54296875" bestFit="1" customWidth="1"/>
    <col min="3" max="3" width="15.81640625" bestFit="1" customWidth="1"/>
    <col min="5" max="5" width="16.08984375" customWidth="1"/>
    <col min="6" max="6" width="16.54296875" customWidth="1"/>
    <col min="7" max="7" width="18.81640625" customWidth="1"/>
    <col min="8" max="8" width="17.1796875" customWidth="1"/>
    <col min="9" max="9" width="19.6328125" customWidth="1"/>
    <col min="10" max="10" width="15.6328125" customWidth="1"/>
    <col min="11" max="11" width="14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</row>
    <row r="2" spans="1:11" x14ac:dyDescent="0.35">
      <c r="A2" t="s">
        <v>7</v>
      </c>
      <c r="B2" t="s">
        <v>8</v>
      </c>
      <c r="C2" t="s">
        <v>9</v>
      </c>
      <c r="D2" t="s">
        <v>127</v>
      </c>
      <c r="E2">
        <v>213</v>
      </c>
      <c r="F2">
        <v>63</v>
      </c>
      <c r="G2">
        <v>18</v>
      </c>
      <c r="H2">
        <v>15.3</v>
      </c>
      <c r="I2">
        <v>21</v>
      </c>
      <c r="J2" t="b">
        <v>1</v>
      </c>
      <c r="K2" t="s">
        <v>16</v>
      </c>
    </row>
    <row r="3" spans="1:11" x14ac:dyDescent="0.35">
      <c r="A3" t="s">
        <v>7</v>
      </c>
      <c r="B3" t="s">
        <v>8</v>
      </c>
      <c r="C3" t="s">
        <v>9</v>
      </c>
      <c r="D3" t="s">
        <v>128</v>
      </c>
      <c r="E3">
        <v>133</v>
      </c>
      <c r="F3">
        <v>190</v>
      </c>
      <c r="G3">
        <v>77</v>
      </c>
      <c r="H3">
        <v>4.2</v>
      </c>
      <c r="I3">
        <v>21</v>
      </c>
      <c r="J3" t="b">
        <v>1</v>
      </c>
      <c r="K3" t="s">
        <v>43</v>
      </c>
    </row>
    <row r="4" spans="1:11" x14ac:dyDescent="0.35">
      <c r="A4" t="s">
        <v>7</v>
      </c>
      <c r="B4" t="s">
        <v>8</v>
      </c>
      <c r="C4" t="s">
        <v>9</v>
      </c>
      <c r="D4" t="s">
        <v>129</v>
      </c>
      <c r="E4">
        <v>314</v>
      </c>
      <c r="F4">
        <v>228</v>
      </c>
      <c r="G4">
        <v>37</v>
      </c>
      <c r="H4">
        <v>14.6</v>
      </c>
      <c r="I4">
        <v>21</v>
      </c>
      <c r="J4" t="b">
        <v>1</v>
      </c>
      <c r="K4" t="s">
        <v>16</v>
      </c>
    </row>
    <row r="5" spans="1:11" x14ac:dyDescent="0.35">
      <c r="A5" t="s">
        <v>7</v>
      </c>
      <c r="B5" t="s">
        <v>8</v>
      </c>
      <c r="C5" t="s">
        <v>9</v>
      </c>
      <c r="D5" t="s">
        <v>130</v>
      </c>
      <c r="E5">
        <v>455</v>
      </c>
      <c r="F5">
        <v>242</v>
      </c>
      <c r="G5">
        <v>59</v>
      </c>
      <c r="H5">
        <v>11.8</v>
      </c>
      <c r="I5">
        <v>21</v>
      </c>
      <c r="J5" t="b">
        <v>1</v>
      </c>
      <c r="K5" t="s">
        <v>10</v>
      </c>
    </row>
    <row r="6" spans="1:11" x14ac:dyDescent="0.35">
      <c r="A6" t="s">
        <v>11</v>
      </c>
      <c r="B6" t="s">
        <v>8</v>
      </c>
      <c r="C6" t="s">
        <v>12</v>
      </c>
      <c r="D6" t="s">
        <v>127</v>
      </c>
      <c r="E6">
        <v>186</v>
      </c>
      <c r="F6">
        <v>83</v>
      </c>
      <c r="G6">
        <v>48</v>
      </c>
      <c r="H6">
        <v>5.6</v>
      </c>
      <c r="I6">
        <v>21</v>
      </c>
      <c r="J6" t="b">
        <v>1</v>
      </c>
      <c r="K6" t="s">
        <v>43</v>
      </c>
    </row>
    <row r="7" spans="1:11" x14ac:dyDescent="0.35">
      <c r="A7" t="s">
        <v>11</v>
      </c>
      <c r="B7" t="s">
        <v>8</v>
      </c>
      <c r="C7" t="s">
        <v>12</v>
      </c>
      <c r="D7" t="s">
        <v>128</v>
      </c>
      <c r="E7">
        <v>393</v>
      </c>
      <c r="F7">
        <v>46</v>
      </c>
      <c r="G7">
        <v>51</v>
      </c>
      <c r="H7">
        <v>8.6</v>
      </c>
      <c r="I7">
        <v>21</v>
      </c>
      <c r="J7" t="b">
        <v>1</v>
      </c>
      <c r="K7" t="s">
        <v>10</v>
      </c>
    </row>
    <row r="8" spans="1:11" x14ac:dyDescent="0.35">
      <c r="A8" t="s">
        <v>11</v>
      </c>
      <c r="B8" t="s">
        <v>8</v>
      </c>
      <c r="C8" t="s">
        <v>12</v>
      </c>
      <c r="D8" t="s">
        <v>129</v>
      </c>
      <c r="E8">
        <v>24</v>
      </c>
      <c r="F8">
        <v>197</v>
      </c>
      <c r="G8">
        <v>21</v>
      </c>
      <c r="H8">
        <v>10.5</v>
      </c>
      <c r="I8">
        <v>21</v>
      </c>
      <c r="J8" t="b">
        <v>1</v>
      </c>
      <c r="K8" t="s">
        <v>10</v>
      </c>
    </row>
    <row r="9" spans="1:11" x14ac:dyDescent="0.35">
      <c r="A9" t="s">
        <v>11</v>
      </c>
      <c r="B9" t="s">
        <v>8</v>
      </c>
      <c r="C9" t="s">
        <v>12</v>
      </c>
      <c r="D9" t="s">
        <v>130</v>
      </c>
      <c r="E9">
        <v>93</v>
      </c>
      <c r="F9">
        <v>292</v>
      </c>
      <c r="G9">
        <v>42</v>
      </c>
      <c r="H9">
        <v>9.1999999999999993</v>
      </c>
      <c r="I9">
        <v>21</v>
      </c>
      <c r="J9" t="b">
        <v>1</v>
      </c>
      <c r="K9" t="s">
        <v>10</v>
      </c>
    </row>
    <row r="10" spans="1:11" x14ac:dyDescent="0.35">
      <c r="A10" t="s">
        <v>13</v>
      </c>
      <c r="B10" t="s">
        <v>14</v>
      </c>
      <c r="C10" t="s">
        <v>15</v>
      </c>
      <c r="D10" t="s">
        <v>127</v>
      </c>
      <c r="E10">
        <v>448</v>
      </c>
      <c r="F10">
        <v>113</v>
      </c>
      <c r="G10">
        <v>43</v>
      </c>
      <c r="H10">
        <v>13</v>
      </c>
      <c r="I10">
        <v>13</v>
      </c>
      <c r="J10" t="b">
        <v>0</v>
      </c>
      <c r="K10" t="s">
        <v>16</v>
      </c>
    </row>
    <row r="11" spans="1:11" x14ac:dyDescent="0.35">
      <c r="A11" t="s">
        <v>13</v>
      </c>
      <c r="B11" t="s">
        <v>14</v>
      </c>
      <c r="C11" t="s">
        <v>15</v>
      </c>
      <c r="D11" t="s">
        <v>128</v>
      </c>
      <c r="E11">
        <v>356</v>
      </c>
      <c r="F11">
        <v>105</v>
      </c>
      <c r="G11">
        <v>49</v>
      </c>
      <c r="H11">
        <v>9.4</v>
      </c>
      <c r="I11">
        <v>13</v>
      </c>
      <c r="J11" t="b">
        <v>1</v>
      </c>
      <c r="K11" t="s">
        <v>10</v>
      </c>
    </row>
    <row r="12" spans="1:11" x14ac:dyDescent="0.35">
      <c r="A12" t="s">
        <v>13</v>
      </c>
      <c r="B12" t="s">
        <v>14</v>
      </c>
      <c r="C12" t="s">
        <v>15</v>
      </c>
      <c r="D12" t="s">
        <v>129</v>
      </c>
      <c r="E12">
        <v>343</v>
      </c>
      <c r="F12">
        <v>209</v>
      </c>
      <c r="G12">
        <v>80</v>
      </c>
      <c r="H12">
        <v>6.9</v>
      </c>
      <c r="I12">
        <v>13</v>
      </c>
      <c r="J12" t="b">
        <v>1</v>
      </c>
      <c r="K12" t="s">
        <v>43</v>
      </c>
    </row>
    <row r="13" spans="1:11" x14ac:dyDescent="0.35">
      <c r="A13" t="s">
        <v>13</v>
      </c>
      <c r="B13" t="s">
        <v>14</v>
      </c>
      <c r="C13" t="s">
        <v>15</v>
      </c>
      <c r="D13" t="s">
        <v>130</v>
      </c>
      <c r="E13">
        <v>20</v>
      </c>
      <c r="F13">
        <v>4</v>
      </c>
      <c r="G13">
        <v>75</v>
      </c>
      <c r="H13">
        <v>0.3</v>
      </c>
      <c r="I13">
        <v>13</v>
      </c>
      <c r="J13" t="b">
        <v>1</v>
      </c>
      <c r="K13" t="s">
        <v>131</v>
      </c>
    </row>
    <row r="14" spans="1:11" x14ac:dyDescent="0.35">
      <c r="A14" t="s">
        <v>17</v>
      </c>
      <c r="B14" t="s">
        <v>14</v>
      </c>
      <c r="C14" t="s">
        <v>18</v>
      </c>
      <c r="D14" t="s">
        <v>127</v>
      </c>
      <c r="E14">
        <v>476</v>
      </c>
      <c r="F14">
        <v>67</v>
      </c>
      <c r="G14">
        <v>37</v>
      </c>
      <c r="H14">
        <v>14.7</v>
      </c>
      <c r="I14">
        <v>12</v>
      </c>
      <c r="J14" t="b">
        <v>0</v>
      </c>
      <c r="K14" t="s">
        <v>16</v>
      </c>
    </row>
    <row r="15" spans="1:11" x14ac:dyDescent="0.35">
      <c r="A15" t="s">
        <v>17</v>
      </c>
      <c r="B15" t="s">
        <v>14</v>
      </c>
      <c r="C15" t="s">
        <v>18</v>
      </c>
      <c r="D15" t="s">
        <v>128</v>
      </c>
      <c r="E15">
        <v>317</v>
      </c>
      <c r="F15">
        <v>4</v>
      </c>
      <c r="G15">
        <v>43</v>
      </c>
      <c r="H15">
        <v>7.5</v>
      </c>
      <c r="I15">
        <v>12</v>
      </c>
      <c r="J15" t="b">
        <v>1</v>
      </c>
      <c r="K15" t="s">
        <v>43</v>
      </c>
    </row>
    <row r="16" spans="1:11" x14ac:dyDescent="0.35">
      <c r="A16" t="s">
        <v>17</v>
      </c>
      <c r="B16" t="s">
        <v>14</v>
      </c>
      <c r="C16" t="s">
        <v>18</v>
      </c>
      <c r="D16" t="s">
        <v>129</v>
      </c>
      <c r="E16">
        <v>139</v>
      </c>
      <c r="F16">
        <v>156</v>
      </c>
      <c r="G16">
        <v>50</v>
      </c>
      <c r="H16">
        <v>5.9</v>
      </c>
      <c r="I16">
        <v>12</v>
      </c>
      <c r="J16" t="b">
        <v>1</v>
      </c>
      <c r="K16" t="s">
        <v>43</v>
      </c>
    </row>
    <row r="17" spans="1:11" x14ac:dyDescent="0.35">
      <c r="A17" t="s">
        <v>17</v>
      </c>
      <c r="B17" t="s">
        <v>14</v>
      </c>
      <c r="C17" t="s">
        <v>18</v>
      </c>
      <c r="D17" t="s">
        <v>130</v>
      </c>
      <c r="E17">
        <v>226</v>
      </c>
      <c r="F17">
        <v>192</v>
      </c>
      <c r="G17">
        <v>59</v>
      </c>
      <c r="H17">
        <v>7.1</v>
      </c>
      <c r="I17">
        <v>12</v>
      </c>
      <c r="J17" t="b">
        <v>1</v>
      </c>
      <c r="K17" t="s">
        <v>43</v>
      </c>
    </row>
    <row r="18" spans="1:11" x14ac:dyDescent="0.35">
      <c r="A18" t="s">
        <v>19</v>
      </c>
      <c r="B18" t="s">
        <v>14</v>
      </c>
      <c r="C18" t="s">
        <v>20</v>
      </c>
      <c r="D18" t="s">
        <v>127</v>
      </c>
      <c r="E18">
        <v>245</v>
      </c>
      <c r="F18">
        <v>129</v>
      </c>
      <c r="G18">
        <v>42</v>
      </c>
      <c r="H18">
        <v>8.9</v>
      </c>
      <c r="I18">
        <v>16</v>
      </c>
      <c r="J18" t="b">
        <v>1</v>
      </c>
      <c r="K18" t="s">
        <v>10</v>
      </c>
    </row>
    <row r="19" spans="1:11" x14ac:dyDescent="0.35">
      <c r="A19" t="s">
        <v>19</v>
      </c>
      <c r="B19" t="s">
        <v>14</v>
      </c>
      <c r="C19" t="s">
        <v>20</v>
      </c>
      <c r="D19" t="s">
        <v>128</v>
      </c>
      <c r="E19">
        <v>248</v>
      </c>
      <c r="F19">
        <v>154</v>
      </c>
      <c r="G19">
        <v>65</v>
      </c>
      <c r="H19">
        <v>6.2</v>
      </c>
      <c r="I19">
        <v>16</v>
      </c>
      <c r="J19" t="b">
        <v>1</v>
      </c>
      <c r="K19" t="s">
        <v>43</v>
      </c>
    </row>
    <row r="20" spans="1:11" x14ac:dyDescent="0.35">
      <c r="A20" t="s">
        <v>19</v>
      </c>
      <c r="B20" t="s">
        <v>14</v>
      </c>
      <c r="C20" t="s">
        <v>20</v>
      </c>
      <c r="D20" t="s">
        <v>129</v>
      </c>
      <c r="E20">
        <v>309</v>
      </c>
      <c r="F20">
        <v>52</v>
      </c>
      <c r="G20">
        <v>15</v>
      </c>
      <c r="H20">
        <v>24.1</v>
      </c>
      <c r="I20">
        <v>16</v>
      </c>
      <c r="J20" t="b">
        <v>0</v>
      </c>
      <c r="K20" t="s">
        <v>16</v>
      </c>
    </row>
    <row r="21" spans="1:11" x14ac:dyDescent="0.35">
      <c r="A21" t="s">
        <v>19</v>
      </c>
      <c r="B21" t="s">
        <v>14</v>
      </c>
      <c r="C21" t="s">
        <v>20</v>
      </c>
      <c r="D21" t="s">
        <v>130</v>
      </c>
      <c r="E21">
        <v>271</v>
      </c>
      <c r="F21">
        <v>191</v>
      </c>
      <c r="G21">
        <v>51</v>
      </c>
      <c r="H21">
        <v>9.1</v>
      </c>
      <c r="I21">
        <v>16</v>
      </c>
      <c r="J21" t="b">
        <v>1</v>
      </c>
      <c r="K21" t="s">
        <v>10</v>
      </c>
    </row>
    <row r="22" spans="1:11" x14ac:dyDescent="0.35">
      <c r="A22" t="s">
        <v>21</v>
      </c>
      <c r="B22" t="s">
        <v>22</v>
      </c>
      <c r="C22" t="s">
        <v>23</v>
      </c>
      <c r="D22" t="s">
        <v>127</v>
      </c>
      <c r="E22">
        <v>162</v>
      </c>
      <c r="F22">
        <v>55</v>
      </c>
      <c r="G22">
        <v>76</v>
      </c>
      <c r="H22">
        <v>2.9</v>
      </c>
      <c r="I22">
        <v>13</v>
      </c>
      <c r="J22" t="b">
        <v>1</v>
      </c>
      <c r="K22" t="s">
        <v>131</v>
      </c>
    </row>
    <row r="23" spans="1:11" x14ac:dyDescent="0.35">
      <c r="A23" t="s">
        <v>21</v>
      </c>
      <c r="B23" t="s">
        <v>22</v>
      </c>
      <c r="C23" t="s">
        <v>23</v>
      </c>
      <c r="D23" t="s">
        <v>128</v>
      </c>
      <c r="E23">
        <v>42</v>
      </c>
      <c r="F23">
        <v>172</v>
      </c>
      <c r="G23">
        <v>50</v>
      </c>
      <c r="H23">
        <v>4.3</v>
      </c>
      <c r="I23">
        <v>13</v>
      </c>
      <c r="J23" t="b">
        <v>1</v>
      </c>
      <c r="K23" t="s">
        <v>43</v>
      </c>
    </row>
    <row r="24" spans="1:11" x14ac:dyDescent="0.35">
      <c r="A24" t="s">
        <v>21</v>
      </c>
      <c r="B24" t="s">
        <v>22</v>
      </c>
      <c r="C24" t="s">
        <v>23</v>
      </c>
      <c r="D24" t="s">
        <v>129</v>
      </c>
      <c r="E24">
        <v>337</v>
      </c>
      <c r="F24">
        <v>166</v>
      </c>
      <c r="G24">
        <v>50</v>
      </c>
      <c r="H24">
        <v>10.1</v>
      </c>
      <c r="I24">
        <v>13</v>
      </c>
      <c r="J24" t="b">
        <v>1</v>
      </c>
      <c r="K24" t="s">
        <v>10</v>
      </c>
    </row>
    <row r="25" spans="1:11" x14ac:dyDescent="0.35">
      <c r="A25" t="s">
        <v>21</v>
      </c>
      <c r="B25" t="s">
        <v>22</v>
      </c>
      <c r="C25" t="s">
        <v>23</v>
      </c>
      <c r="D25" t="s">
        <v>130</v>
      </c>
      <c r="E25">
        <v>143</v>
      </c>
      <c r="F25">
        <v>152</v>
      </c>
      <c r="G25">
        <v>39</v>
      </c>
      <c r="H25">
        <v>7.6</v>
      </c>
      <c r="I25">
        <v>13</v>
      </c>
      <c r="J25" t="b">
        <v>1</v>
      </c>
      <c r="K25" t="s">
        <v>43</v>
      </c>
    </row>
    <row r="26" spans="1:11" x14ac:dyDescent="0.35">
      <c r="A26" t="s">
        <v>24</v>
      </c>
      <c r="B26" t="s">
        <v>22</v>
      </c>
      <c r="C26" t="s">
        <v>25</v>
      </c>
      <c r="D26" t="s">
        <v>127</v>
      </c>
      <c r="E26">
        <v>86</v>
      </c>
      <c r="F26">
        <v>264</v>
      </c>
      <c r="G26">
        <v>45</v>
      </c>
      <c r="H26">
        <v>7.8</v>
      </c>
      <c r="I26">
        <v>10</v>
      </c>
      <c r="J26" t="b">
        <v>1</v>
      </c>
      <c r="K26" t="s">
        <v>43</v>
      </c>
    </row>
    <row r="27" spans="1:11" x14ac:dyDescent="0.35">
      <c r="A27" t="s">
        <v>24</v>
      </c>
      <c r="B27" t="s">
        <v>22</v>
      </c>
      <c r="C27" t="s">
        <v>25</v>
      </c>
      <c r="D27" t="s">
        <v>128</v>
      </c>
      <c r="E27">
        <v>470</v>
      </c>
      <c r="F27">
        <v>29</v>
      </c>
      <c r="G27">
        <v>66</v>
      </c>
      <c r="H27">
        <v>7.6</v>
      </c>
      <c r="I27">
        <v>10</v>
      </c>
      <c r="J27" t="b">
        <v>1</v>
      </c>
      <c r="K27" t="s">
        <v>43</v>
      </c>
    </row>
    <row r="28" spans="1:11" x14ac:dyDescent="0.35">
      <c r="A28" t="s">
        <v>24</v>
      </c>
      <c r="B28" t="s">
        <v>22</v>
      </c>
      <c r="C28" t="s">
        <v>25</v>
      </c>
      <c r="D28" t="s">
        <v>129</v>
      </c>
      <c r="E28">
        <v>348</v>
      </c>
      <c r="F28">
        <v>163</v>
      </c>
      <c r="G28">
        <v>32</v>
      </c>
      <c r="H28">
        <v>16</v>
      </c>
      <c r="I28">
        <v>10</v>
      </c>
      <c r="J28" t="b">
        <v>0</v>
      </c>
      <c r="K28" t="s">
        <v>16</v>
      </c>
    </row>
    <row r="29" spans="1:11" x14ac:dyDescent="0.35">
      <c r="A29" t="s">
        <v>24</v>
      </c>
      <c r="B29" t="s">
        <v>22</v>
      </c>
      <c r="C29" t="s">
        <v>25</v>
      </c>
      <c r="D29" t="s">
        <v>130</v>
      </c>
      <c r="E29">
        <v>379</v>
      </c>
      <c r="F29">
        <v>13</v>
      </c>
      <c r="G29">
        <v>78</v>
      </c>
      <c r="H29">
        <v>5</v>
      </c>
      <c r="I29">
        <v>10</v>
      </c>
      <c r="J29" t="b">
        <v>1</v>
      </c>
      <c r="K29" t="s">
        <v>43</v>
      </c>
    </row>
    <row r="30" spans="1:11" x14ac:dyDescent="0.35">
      <c r="A30" t="s">
        <v>26</v>
      </c>
      <c r="B30" t="s">
        <v>27</v>
      </c>
      <c r="C30" t="s">
        <v>28</v>
      </c>
      <c r="D30" t="s">
        <v>127</v>
      </c>
      <c r="E30">
        <v>161</v>
      </c>
      <c r="F30">
        <v>132</v>
      </c>
      <c r="G30">
        <v>68</v>
      </c>
      <c r="H30">
        <v>4.3</v>
      </c>
      <c r="I30">
        <v>12</v>
      </c>
      <c r="J30" t="b">
        <v>1</v>
      </c>
      <c r="K30" t="s">
        <v>43</v>
      </c>
    </row>
    <row r="31" spans="1:11" x14ac:dyDescent="0.35">
      <c r="A31" t="s">
        <v>26</v>
      </c>
      <c r="B31" t="s">
        <v>27</v>
      </c>
      <c r="C31" t="s">
        <v>28</v>
      </c>
      <c r="D31" t="s">
        <v>128</v>
      </c>
      <c r="E31">
        <v>217</v>
      </c>
      <c r="F31">
        <v>198</v>
      </c>
      <c r="G31">
        <v>19</v>
      </c>
      <c r="H31">
        <v>21.8</v>
      </c>
      <c r="I31">
        <v>12</v>
      </c>
      <c r="J31" t="b">
        <v>0</v>
      </c>
      <c r="K31" t="s">
        <v>16</v>
      </c>
    </row>
    <row r="32" spans="1:11" x14ac:dyDescent="0.35">
      <c r="A32" t="s">
        <v>26</v>
      </c>
      <c r="B32" t="s">
        <v>27</v>
      </c>
      <c r="C32" t="s">
        <v>28</v>
      </c>
      <c r="D32" t="s">
        <v>129</v>
      </c>
      <c r="E32">
        <v>308</v>
      </c>
      <c r="F32">
        <v>292</v>
      </c>
      <c r="G32">
        <v>39</v>
      </c>
      <c r="H32">
        <v>15.4</v>
      </c>
      <c r="I32">
        <v>12</v>
      </c>
      <c r="J32" t="b">
        <v>0</v>
      </c>
      <c r="K32" t="s">
        <v>16</v>
      </c>
    </row>
    <row r="33" spans="1:11" x14ac:dyDescent="0.35">
      <c r="A33" t="s">
        <v>26</v>
      </c>
      <c r="B33" t="s">
        <v>27</v>
      </c>
      <c r="C33" t="s">
        <v>28</v>
      </c>
      <c r="D33" t="s">
        <v>130</v>
      </c>
      <c r="E33">
        <v>185</v>
      </c>
      <c r="F33">
        <v>113</v>
      </c>
      <c r="G33">
        <v>75</v>
      </c>
      <c r="H33">
        <v>4</v>
      </c>
      <c r="I33">
        <v>12</v>
      </c>
      <c r="J33" t="b">
        <v>1</v>
      </c>
      <c r="K33" t="s">
        <v>43</v>
      </c>
    </row>
    <row r="34" spans="1:11" x14ac:dyDescent="0.35">
      <c r="A34" t="s">
        <v>29</v>
      </c>
      <c r="B34" t="s">
        <v>27</v>
      </c>
      <c r="C34" t="s">
        <v>20</v>
      </c>
      <c r="D34" t="s">
        <v>127</v>
      </c>
      <c r="E34">
        <v>474</v>
      </c>
      <c r="F34">
        <v>183</v>
      </c>
      <c r="G34">
        <v>79</v>
      </c>
      <c r="H34">
        <v>8.3000000000000007</v>
      </c>
      <c r="I34">
        <v>12</v>
      </c>
      <c r="J34" t="b">
        <v>1</v>
      </c>
      <c r="K34" t="s">
        <v>10</v>
      </c>
    </row>
    <row r="35" spans="1:11" x14ac:dyDescent="0.35">
      <c r="A35" t="s">
        <v>29</v>
      </c>
      <c r="B35" t="s">
        <v>27</v>
      </c>
      <c r="C35" t="s">
        <v>20</v>
      </c>
      <c r="D35" t="s">
        <v>128</v>
      </c>
      <c r="E35">
        <v>163</v>
      </c>
      <c r="F35">
        <v>87</v>
      </c>
      <c r="G35">
        <v>38</v>
      </c>
      <c r="H35">
        <v>6.6</v>
      </c>
      <c r="I35">
        <v>12</v>
      </c>
      <c r="J35" t="b">
        <v>1</v>
      </c>
      <c r="K35" t="s">
        <v>43</v>
      </c>
    </row>
    <row r="36" spans="1:11" x14ac:dyDescent="0.35">
      <c r="A36" t="s">
        <v>29</v>
      </c>
      <c r="B36" t="s">
        <v>27</v>
      </c>
      <c r="C36" t="s">
        <v>20</v>
      </c>
      <c r="D36" t="s">
        <v>129</v>
      </c>
      <c r="E36">
        <v>160</v>
      </c>
      <c r="F36">
        <v>49</v>
      </c>
      <c r="G36">
        <v>75</v>
      </c>
      <c r="H36">
        <v>2.8</v>
      </c>
      <c r="I36">
        <v>12</v>
      </c>
      <c r="J36" t="b">
        <v>1</v>
      </c>
      <c r="K36" t="s">
        <v>131</v>
      </c>
    </row>
    <row r="37" spans="1:11" x14ac:dyDescent="0.35">
      <c r="A37" t="s">
        <v>29</v>
      </c>
      <c r="B37" t="s">
        <v>27</v>
      </c>
      <c r="C37" t="s">
        <v>20</v>
      </c>
      <c r="D37" t="s">
        <v>130</v>
      </c>
      <c r="E37">
        <v>75</v>
      </c>
      <c r="F37">
        <v>132</v>
      </c>
      <c r="G37">
        <v>38</v>
      </c>
      <c r="H37">
        <v>5.4</v>
      </c>
      <c r="I37">
        <v>12</v>
      </c>
      <c r="J37" t="b">
        <v>1</v>
      </c>
      <c r="K37" t="s">
        <v>43</v>
      </c>
    </row>
    <row r="38" spans="1:11" x14ac:dyDescent="0.35">
      <c r="A38" t="s">
        <v>30</v>
      </c>
      <c r="B38" t="s">
        <v>27</v>
      </c>
      <c r="C38" t="s">
        <v>15</v>
      </c>
      <c r="D38" t="s">
        <v>127</v>
      </c>
      <c r="E38">
        <v>494</v>
      </c>
      <c r="F38">
        <v>171</v>
      </c>
      <c r="G38">
        <v>26</v>
      </c>
      <c r="H38">
        <v>25.6</v>
      </c>
      <c r="I38">
        <v>13</v>
      </c>
      <c r="J38" t="b">
        <v>0</v>
      </c>
      <c r="K38" t="s">
        <v>16</v>
      </c>
    </row>
    <row r="39" spans="1:11" x14ac:dyDescent="0.35">
      <c r="A39" t="s">
        <v>30</v>
      </c>
      <c r="B39" t="s">
        <v>27</v>
      </c>
      <c r="C39" t="s">
        <v>15</v>
      </c>
      <c r="D39" t="s">
        <v>128</v>
      </c>
      <c r="E39">
        <v>123</v>
      </c>
      <c r="F39">
        <v>181</v>
      </c>
      <c r="G39">
        <v>43</v>
      </c>
      <c r="H39">
        <v>7.1</v>
      </c>
      <c r="I39">
        <v>13</v>
      </c>
      <c r="J39" t="b">
        <v>1</v>
      </c>
      <c r="K39" t="s">
        <v>43</v>
      </c>
    </row>
    <row r="40" spans="1:11" x14ac:dyDescent="0.35">
      <c r="A40" t="s">
        <v>30</v>
      </c>
      <c r="B40" t="s">
        <v>27</v>
      </c>
      <c r="C40" t="s">
        <v>15</v>
      </c>
      <c r="D40" t="s">
        <v>129</v>
      </c>
      <c r="E40">
        <v>391</v>
      </c>
      <c r="F40">
        <v>157</v>
      </c>
      <c r="G40">
        <v>68</v>
      </c>
      <c r="H40">
        <v>8.1</v>
      </c>
      <c r="I40">
        <v>13</v>
      </c>
      <c r="J40" t="b">
        <v>1</v>
      </c>
      <c r="K40" t="s">
        <v>10</v>
      </c>
    </row>
    <row r="41" spans="1:11" x14ac:dyDescent="0.35">
      <c r="A41" t="s">
        <v>30</v>
      </c>
      <c r="B41" t="s">
        <v>27</v>
      </c>
      <c r="C41" t="s">
        <v>15</v>
      </c>
      <c r="D41" t="s">
        <v>130</v>
      </c>
      <c r="E41">
        <v>413</v>
      </c>
      <c r="F41">
        <v>169</v>
      </c>
      <c r="G41">
        <v>62</v>
      </c>
      <c r="H41">
        <v>9.4</v>
      </c>
      <c r="I41">
        <v>13</v>
      </c>
      <c r="J41" t="b">
        <v>1</v>
      </c>
      <c r="K41" t="s">
        <v>10</v>
      </c>
    </row>
    <row r="42" spans="1:11" x14ac:dyDescent="0.35">
      <c r="A42" t="s">
        <v>31</v>
      </c>
      <c r="B42" t="s">
        <v>32</v>
      </c>
      <c r="C42" t="s">
        <v>33</v>
      </c>
      <c r="D42" t="s">
        <v>127</v>
      </c>
      <c r="E42">
        <v>143</v>
      </c>
      <c r="F42">
        <v>299</v>
      </c>
      <c r="G42">
        <v>52</v>
      </c>
      <c r="H42">
        <v>8.5</v>
      </c>
      <c r="I42">
        <v>17</v>
      </c>
      <c r="J42" t="b">
        <v>1</v>
      </c>
      <c r="K42" t="s">
        <v>10</v>
      </c>
    </row>
    <row r="43" spans="1:11" x14ac:dyDescent="0.35">
      <c r="A43" t="s">
        <v>31</v>
      </c>
      <c r="B43" t="s">
        <v>32</v>
      </c>
      <c r="C43" t="s">
        <v>33</v>
      </c>
      <c r="D43" t="s">
        <v>128</v>
      </c>
      <c r="E43">
        <v>247</v>
      </c>
      <c r="F43">
        <v>60</v>
      </c>
      <c r="G43">
        <v>75</v>
      </c>
      <c r="H43">
        <v>4.0999999999999996</v>
      </c>
      <c r="I43">
        <v>17</v>
      </c>
      <c r="J43" t="b">
        <v>1</v>
      </c>
      <c r="K43" t="s">
        <v>43</v>
      </c>
    </row>
    <row r="44" spans="1:11" x14ac:dyDescent="0.35">
      <c r="A44" t="s">
        <v>31</v>
      </c>
      <c r="B44" t="s">
        <v>32</v>
      </c>
      <c r="C44" t="s">
        <v>33</v>
      </c>
      <c r="D44" t="s">
        <v>129</v>
      </c>
      <c r="E44">
        <v>37</v>
      </c>
      <c r="F44">
        <v>298</v>
      </c>
      <c r="G44">
        <v>24</v>
      </c>
      <c r="H44">
        <v>14</v>
      </c>
      <c r="I44">
        <v>17</v>
      </c>
      <c r="J44" t="b">
        <v>1</v>
      </c>
      <c r="K44" t="s">
        <v>16</v>
      </c>
    </row>
    <row r="45" spans="1:11" x14ac:dyDescent="0.35">
      <c r="A45" t="s">
        <v>31</v>
      </c>
      <c r="B45" t="s">
        <v>32</v>
      </c>
      <c r="C45" t="s">
        <v>33</v>
      </c>
      <c r="D45" t="s">
        <v>130</v>
      </c>
      <c r="E45">
        <v>251</v>
      </c>
      <c r="F45">
        <v>99</v>
      </c>
      <c r="G45">
        <v>79</v>
      </c>
      <c r="H45">
        <v>4.4000000000000004</v>
      </c>
      <c r="I45">
        <v>17</v>
      </c>
      <c r="J45" t="b">
        <v>1</v>
      </c>
      <c r="K45" t="s">
        <v>43</v>
      </c>
    </row>
    <row r="46" spans="1:11" x14ac:dyDescent="0.35">
      <c r="A46" t="s">
        <v>34</v>
      </c>
      <c r="B46" t="s">
        <v>32</v>
      </c>
      <c r="C46" t="s">
        <v>35</v>
      </c>
      <c r="D46" t="s">
        <v>127</v>
      </c>
      <c r="E46">
        <v>71</v>
      </c>
      <c r="F46">
        <v>195</v>
      </c>
      <c r="G46">
        <v>53</v>
      </c>
      <c r="H46">
        <v>5</v>
      </c>
      <c r="I46">
        <v>18</v>
      </c>
      <c r="J46" t="b">
        <v>1</v>
      </c>
      <c r="K46" t="s">
        <v>43</v>
      </c>
    </row>
    <row r="47" spans="1:11" x14ac:dyDescent="0.35">
      <c r="A47" t="s">
        <v>34</v>
      </c>
      <c r="B47" t="s">
        <v>32</v>
      </c>
      <c r="C47" t="s">
        <v>35</v>
      </c>
      <c r="D47" t="s">
        <v>128</v>
      </c>
      <c r="E47">
        <v>221</v>
      </c>
      <c r="F47">
        <v>27</v>
      </c>
      <c r="G47">
        <v>34</v>
      </c>
      <c r="H47">
        <v>7.3</v>
      </c>
      <c r="I47">
        <v>18</v>
      </c>
      <c r="J47" t="b">
        <v>1</v>
      </c>
      <c r="K47" t="s">
        <v>43</v>
      </c>
    </row>
    <row r="48" spans="1:11" x14ac:dyDescent="0.35">
      <c r="A48" t="s">
        <v>34</v>
      </c>
      <c r="B48" t="s">
        <v>32</v>
      </c>
      <c r="C48" t="s">
        <v>35</v>
      </c>
      <c r="D48" t="s">
        <v>129</v>
      </c>
      <c r="E48">
        <v>80</v>
      </c>
      <c r="F48">
        <v>102</v>
      </c>
      <c r="G48">
        <v>58</v>
      </c>
      <c r="H48">
        <v>3.1</v>
      </c>
      <c r="I48">
        <v>18</v>
      </c>
      <c r="J48" t="b">
        <v>1</v>
      </c>
      <c r="K48" t="s">
        <v>131</v>
      </c>
    </row>
    <row r="49" spans="1:11" x14ac:dyDescent="0.35">
      <c r="A49" t="s">
        <v>34</v>
      </c>
      <c r="B49" t="s">
        <v>32</v>
      </c>
      <c r="C49" t="s">
        <v>35</v>
      </c>
      <c r="D49" t="s">
        <v>130</v>
      </c>
      <c r="E49">
        <v>219</v>
      </c>
      <c r="F49">
        <v>291</v>
      </c>
      <c r="G49">
        <v>73</v>
      </c>
      <c r="H49">
        <v>7</v>
      </c>
      <c r="I49">
        <v>18</v>
      </c>
      <c r="J49" t="b">
        <v>1</v>
      </c>
      <c r="K49" t="s">
        <v>43</v>
      </c>
    </row>
    <row r="50" spans="1:11" x14ac:dyDescent="0.35">
      <c r="A50" t="s">
        <v>36</v>
      </c>
      <c r="B50" t="s">
        <v>37</v>
      </c>
      <c r="C50" t="s">
        <v>38</v>
      </c>
      <c r="D50" t="s">
        <v>127</v>
      </c>
      <c r="E50">
        <v>83</v>
      </c>
      <c r="F50">
        <v>161</v>
      </c>
      <c r="G50">
        <v>38</v>
      </c>
      <c r="H50">
        <v>6.4</v>
      </c>
      <c r="I50">
        <v>10</v>
      </c>
      <c r="J50" t="b">
        <v>1</v>
      </c>
      <c r="K50" t="s">
        <v>43</v>
      </c>
    </row>
    <row r="51" spans="1:11" x14ac:dyDescent="0.35">
      <c r="A51" t="s">
        <v>36</v>
      </c>
      <c r="B51" t="s">
        <v>37</v>
      </c>
      <c r="C51" t="s">
        <v>38</v>
      </c>
      <c r="D51" t="s">
        <v>128</v>
      </c>
      <c r="E51">
        <v>408</v>
      </c>
      <c r="F51">
        <v>41</v>
      </c>
      <c r="G51">
        <v>77</v>
      </c>
      <c r="H51">
        <v>5.8</v>
      </c>
      <c r="I51">
        <v>10</v>
      </c>
      <c r="J51" t="b">
        <v>1</v>
      </c>
      <c r="K51" t="s">
        <v>43</v>
      </c>
    </row>
    <row r="52" spans="1:11" x14ac:dyDescent="0.35">
      <c r="A52" t="s">
        <v>36</v>
      </c>
      <c r="B52" t="s">
        <v>37</v>
      </c>
      <c r="C52" t="s">
        <v>38</v>
      </c>
      <c r="D52" t="s">
        <v>129</v>
      </c>
      <c r="E52">
        <v>180</v>
      </c>
      <c r="F52">
        <v>90</v>
      </c>
      <c r="G52">
        <v>55</v>
      </c>
      <c r="H52">
        <v>4.9000000000000004</v>
      </c>
      <c r="I52">
        <v>10</v>
      </c>
      <c r="J52" t="b">
        <v>1</v>
      </c>
      <c r="K52" t="s">
        <v>43</v>
      </c>
    </row>
    <row r="53" spans="1:11" x14ac:dyDescent="0.35">
      <c r="A53" t="s">
        <v>36</v>
      </c>
      <c r="B53" t="s">
        <v>37</v>
      </c>
      <c r="C53" t="s">
        <v>38</v>
      </c>
      <c r="D53" t="s">
        <v>130</v>
      </c>
      <c r="E53">
        <v>334</v>
      </c>
      <c r="F53">
        <v>29</v>
      </c>
      <c r="G53">
        <v>15</v>
      </c>
      <c r="H53">
        <v>24.2</v>
      </c>
      <c r="I53">
        <v>10</v>
      </c>
      <c r="J53" t="b">
        <v>0</v>
      </c>
      <c r="K53" t="s">
        <v>16</v>
      </c>
    </row>
    <row r="54" spans="1:11" x14ac:dyDescent="0.35">
      <c r="A54" t="s">
        <v>39</v>
      </c>
      <c r="B54" t="s">
        <v>37</v>
      </c>
      <c r="C54" t="s">
        <v>40</v>
      </c>
      <c r="D54" t="s">
        <v>127</v>
      </c>
      <c r="E54">
        <v>241</v>
      </c>
      <c r="F54">
        <v>140</v>
      </c>
      <c r="G54">
        <v>41</v>
      </c>
      <c r="H54">
        <v>9.3000000000000007</v>
      </c>
      <c r="I54">
        <v>11</v>
      </c>
      <c r="J54" t="b">
        <v>1</v>
      </c>
      <c r="K54" t="s">
        <v>10</v>
      </c>
    </row>
    <row r="55" spans="1:11" x14ac:dyDescent="0.35">
      <c r="A55" t="s">
        <v>39</v>
      </c>
      <c r="B55" t="s">
        <v>37</v>
      </c>
      <c r="C55" t="s">
        <v>40</v>
      </c>
      <c r="D55" t="s">
        <v>128</v>
      </c>
      <c r="E55">
        <v>399</v>
      </c>
      <c r="F55">
        <v>86</v>
      </c>
      <c r="G55">
        <v>35</v>
      </c>
      <c r="H55">
        <v>13.9</v>
      </c>
      <c r="I55">
        <v>11</v>
      </c>
      <c r="J55" t="b">
        <v>0</v>
      </c>
      <c r="K55" t="s">
        <v>16</v>
      </c>
    </row>
    <row r="56" spans="1:11" x14ac:dyDescent="0.35">
      <c r="A56" t="s">
        <v>39</v>
      </c>
      <c r="B56" t="s">
        <v>37</v>
      </c>
      <c r="C56" t="s">
        <v>40</v>
      </c>
      <c r="D56" t="s">
        <v>129</v>
      </c>
      <c r="E56">
        <v>260</v>
      </c>
      <c r="F56">
        <v>45</v>
      </c>
      <c r="G56">
        <v>31</v>
      </c>
      <c r="H56">
        <v>9.8000000000000007</v>
      </c>
      <c r="I56">
        <v>11</v>
      </c>
      <c r="J56" t="b">
        <v>1</v>
      </c>
      <c r="K56" t="s">
        <v>10</v>
      </c>
    </row>
    <row r="57" spans="1:11" x14ac:dyDescent="0.35">
      <c r="A57" t="s">
        <v>39</v>
      </c>
      <c r="B57" t="s">
        <v>37</v>
      </c>
      <c r="C57" t="s">
        <v>40</v>
      </c>
      <c r="D57" t="s">
        <v>130</v>
      </c>
      <c r="E57">
        <v>324</v>
      </c>
      <c r="F57">
        <v>222</v>
      </c>
      <c r="G57">
        <v>69</v>
      </c>
      <c r="H57">
        <v>7.9</v>
      </c>
      <c r="I57">
        <v>11</v>
      </c>
      <c r="J57" t="b">
        <v>1</v>
      </c>
      <c r="K57" t="s">
        <v>43</v>
      </c>
    </row>
    <row r="58" spans="1:11" x14ac:dyDescent="0.35">
      <c r="A58" t="s">
        <v>41</v>
      </c>
      <c r="B58" t="s">
        <v>42</v>
      </c>
      <c r="C58" t="s">
        <v>23</v>
      </c>
      <c r="D58" t="s">
        <v>127</v>
      </c>
      <c r="E58">
        <v>216</v>
      </c>
      <c r="F58">
        <v>219</v>
      </c>
      <c r="G58">
        <v>76</v>
      </c>
      <c r="H58">
        <v>5.7</v>
      </c>
      <c r="I58">
        <v>20</v>
      </c>
      <c r="J58" t="b">
        <v>1</v>
      </c>
      <c r="K58" t="s">
        <v>43</v>
      </c>
    </row>
    <row r="59" spans="1:11" x14ac:dyDescent="0.35">
      <c r="A59" t="s">
        <v>41</v>
      </c>
      <c r="B59" t="s">
        <v>42</v>
      </c>
      <c r="C59" t="s">
        <v>23</v>
      </c>
      <c r="D59" t="s">
        <v>128</v>
      </c>
      <c r="E59">
        <v>29</v>
      </c>
      <c r="F59">
        <v>273</v>
      </c>
      <c r="G59">
        <v>40</v>
      </c>
      <c r="H59">
        <v>7.5</v>
      </c>
      <c r="I59">
        <v>20</v>
      </c>
      <c r="J59" t="b">
        <v>1</v>
      </c>
      <c r="K59" t="s">
        <v>43</v>
      </c>
    </row>
    <row r="60" spans="1:11" x14ac:dyDescent="0.35">
      <c r="A60" t="s">
        <v>41</v>
      </c>
      <c r="B60" t="s">
        <v>42</v>
      </c>
      <c r="C60" t="s">
        <v>23</v>
      </c>
      <c r="D60" t="s">
        <v>129</v>
      </c>
      <c r="E60">
        <v>496</v>
      </c>
      <c r="F60">
        <v>7</v>
      </c>
      <c r="G60">
        <v>56</v>
      </c>
      <c r="H60">
        <v>9</v>
      </c>
      <c r="I60">
        <v>20</v>
      </c>
      <c r="J60" t="b">
        <v>1</v>
      </c>
      <c r="K60" t="s">
        <v>10</v>
      </c>
    </row>
    <row r="61" spans="1:11" x14ac:dyDescent="0.35">
      <c r="A61" t="s">
        <v>41</v>
      </c>
      <c r="B61" t="s">
        <v>42</v>
      </c>
      <c r="C61" t="s">
        <v>23</v>
      </c>
      <c r="D61" t="s">
        <v>130</v>
      </c>
      <c r="E61">
        <v>281</v>
      </c>
      <c r="F61">
        <v>97</v>
      </c>
      <c r="G61">
        <v>17</v>
      </c>
      <c r="H61">
        <v>22.2</v>
      </c>
      <c r="I61">
        <v>20</v>
      </c>
      <c r="J61" t="b">
        <v>0</v>
      </c>
      <c r="K61" t="s">
        <v>16</v>
      </c>
    </row>
    <row r="62" spans="1:11" x14ac:dyDescent="0.35">
      <c r="A62" t="s">
        <v>44</v>
      </c>
      <c r="B62" t="s">
        <v>45</v>
      </c>
      <c r="C62" t="s">
        <v>46</v>
      </c>
      <c r="D62" t="s">
        <v>127</v>
      </c>
      <c r="E62">
        <v>330</v>
      </c>
      <c r="F62">
        <v>127</v>
      </c>
      <c r="G62">
        <v>43</v>
      </c>
      <c r="H62">
        <v>10.6</v>
      </c>
      <c r="I62">
        <v>7</v>
      </c>
      <c r="J62" t="b">
        <v>0</v>
      </c>
      <c r="K62" t="s">
        <v>10</v>
      </c>
    </row>
    <row r="63" spans="1:11" x14ac:dyDescent="0.35">
      <c r="A63" t="s">
        <v>44</v>
      </c>
      <c r="B63" t="s">
        <v>45</v>
      </c>
      <c r="C63" t="s">
        <v>46</v>
      </c>
      <c r="D63" t="s">
        <v>128</v>
      </c>
      <c r="E63">
        <v>365</v>
      </c>
      <c r="F63">
        <v>176</v>
      </c>
      <c r="G63">
        <v>54</v>
      </c>
      <c r="H63">
        <v>10</v>
      </c>
      <c r="I63">
        <v>7</v>
      </c>
      <c r="J63" t="b">
        <v>0</v>
      </c>
      <c r="K63" t="s">
        <v>10</v>
      </c>
    </row>
    <row r="64" spans="1:11" x14ac:dyDescent="0.35">
      <c r="A64" t="s">
        <v>44</v>
      </c>
      <c r="B64" t="s">
        <v>45</v>
      </c>
      <c r="C64" t="s">
        <v>46</v>
      </c>
      <c r="D64" t="s">
        <v>129</v>
      </c>
      <c r="E64">
        <v>76</v>
      </c>
      <c r="F64">
        <v>52</v>
      </c>
      <c r="G64">
        <v>64</v>
      </c>
      <c r="H64">
        <v>2</v>
      </c>
      <c r="I64">
        <v>7</v>
      </c>
      <c r="J64" t="b">
        <v>1</v>
      </c>
      <c r="K64" t="s">
        <v>131</v>
      </c>
    </row>
    <row r="65" spans="1:11" x14ac:dyDescent="0.35">
      <c r="A65" t="s">
        <v>44</v>
      </c>
      <c r="B65" t="s">
        <v>45</v>
      </c>
      <c r="C65" t="s">
        <v>46</v>
      </c>
      <c r="D65" t="s">
        <v>130</v>
      </c>
      <c r="E65">
        <v>267</v>
      </c>
      <c r="F65">
        <v>156</v>
      </c>
      <c r="G65">
        <v>36</v>
      </c>
      <c r="H65">
        <v>11.8</v>
      </c>
      <c r="I65">
        <v>7</v>
      </c>
      <c r="J65" t="b">
        <v>0</v>
      </c>
      <c r="K65" t="s">
        <v>10</v>
      </c>
    </row>
    <row r="66" spans="1:11" x14ac:dyDescent="0.35">
      <c r="A66" t="s">
        <v>47</v>
      </c>
      <c r="B66" t="s">
        <v>45</v>
      </c>
      <c r="C66" t="s">
        <v>48</v>
      </c>
      <c r="D66" t="s">
        <v>127</v>
      </c>
      <c r="E66">
        <v>43</v>
      </c>
      <c r="F66">
        <v>23</v>
      </c>
      <c r="G66">
        <v>53</v>
      </c>
      <c r="H66">
        <v>1.2</v>
      </c>
      <c r="I66">
        <v>8</v>
      </c>
      <c r="J66" t="b">
        <v>1</v>
      </c>
      <c r="K66" t="s">
        <v>131</v>
      </c>
    </row>
    <row r="67" spans="1:11" x14ac:dyDescent="0.35">
      <c r="A67" t="s">
        <v>47</v>
      </c>
      <c r="B67" t="s">
        <v>45</v>
      </c>
      <c r="C67" t="s">
        <v>48</v>
      </c>
      <c r="D67" t="s">
        <v>128</v>
      </c>
      <c r="E67">
        <v>495</v>
      </c>
      <c r="F67">
        <v>148</v>
      </c>
      <c r="G67">
        <v>73</v>
      </c>
      <c r="H67">
        <v>8.8000000000000007</v>
      </c>
      <c r="I67">
        <v>8</v>
      </c>
      <c r="J67" t="b">
        <v>0</v>
      </c>
      <c r="K67" t="s">
        <v>10</v>
      </c>
    </row>
    <row r="68" spans="1:11" x14ac:dyDescent="0.35">
      <c r="A68" t="s">
        <v>47</v>
      </c>
      <c r="B68" t="s">
        <v>45</v>
      </c>
      <c r="C68" t="s">
        <v>48</v>
      </c>
      <c r="D68" t="s">
        <v>129</v>
      </c>
      <c r="E68">
        <v>382</v>
      </c>
      <c r="F68">
        <v>266</v>
      </c>
      <c r="G68">
        <v>58</v>
      </c>
      <c r="H68">
        <v>11.2</v>
      </c>
      <c r="I68">
        <v>8</v>
      </c>
      <c r="J68" t="b">
        <v>0</v>
      </c>
      <c r="K68" t="s">
        <v>10</v>
      </c>
    </row>
    <row r="69" spans="1:11" x14ac:dyDescent="0.35">
      <c r="A69" t="s">
        <v>47</v>
      </c>
      <c r="B69" t="s">
        <v>45</v>
      </c>
      <c r="C69" t="s">
        <v>48</v>
      </c>
      <c r="D69" t="s">
        <v>130</v>
      </c>
      <c r="E69">
        <v>232</v>
      </c>
      <c r="F69">
        <v>68</v>
      </c>
      <c r="G69">
        <v>58</v>
      </c>
      <c r="H69">
        <v>5.2</v>
      </c>
      <c r="I69">
        <v>8</v>
      </c>
      <c r="J69" t="b">
        <v>1</v>
      </c>
      <c r="K69" t="s">
        <v>43</v>
      </c>
    </row>
    <row r="70" spans="1:11" x14ac:dyDescent="0.35">
      <c r="A70" t="s">
        <v>49</v>
      </c>
      <c r="B70" t="s">
        <v>50</v>
      </c>
      <c r="C70" t="s">
        <v>33</v>
      </c>
      <c r="D70" t="s">
        <v>127</v>
      </c>
      <c r="E70">
        <v>471</v>
      </c>
      <c r="F70">
        <v>250</v>
      </c>
      <c r="G70">
        <v>60</v>
      </c>
      <c r="H70">
        <v>12</v>
      </c>
      <c r="I70">
        <v>15</v>
      </c>
      <c r="J70" t="b">
        <v>1</v>
      </c>
      <c r="K70" t="s">
        <v>16</v>
      </c>
    </row>
    <row r="71" spans="1:11" x14ac:dyDescent="0.35">
      <c r="A71" t="s">
        <v>49</v>
      </c>
      <c r="B71" t="s">
        <v>50</v>
      </c>
      <c r="C71" t="s">
        <v>33</v>
      </c>
      <c r="D71" t="s">
        <v>128</v>
      </c>
      <c r="E71">
        <v>8</v>
      </c>
      <c r="F71">
        <v>206</v>
      </c>
      <c r="G71">
        <v>17</v>
      </c>
      <c r="H71">
        <v>0.5</v>
      </c>
      <c r="I71">
        <v>15</v>
      </c>
      <c r="J71" t="b">
        <v>1</v>
      </c>
      <c r="K71" t="s">
        <v>131</v>
      </c>
    </row>
    <row r="72" spans="1:11" x14ac:dyDescent="0.35">
      <c r="A72" t="s">
        <v>49</v>
      </c>
      <c r="B72" t="s">
        <v>50</v>
      </c>
      <c r="C72" t="s">
        <v>33</v>
      </c>
      <c r="D72" t="s">
        <v>129</v>
      </c>
      <c r="E72">
        <v>23</v>
      </c>
      <c r="F72">
        <v>11</v>
      </c>
      <c r="G72">
        <v>79</v>
      </c>
      <c r="H72">
        <v>0.3</v>
      </c>
      <c r="I72">
        <v>15</v>
      </c>
      <c r="J72" t="b">
        <v>1</v>
      </c>
      <c r="K72" t="s">
        <v>131</v>
      </c>
    </row>
    <row r="73" spans="1:11" x14ac:dyDescent="0.35">
      <c r="A73" t="s">
        <v>49</v>
      </c>
      <c r="B73" t="s">
        <v>50</v>
      </c>
      <c r="C73" t="s">
        <v>33</v>
      </c>
      <c r="D73" t="s">
        <v>130</v>
      </c>
      <c r="E73">
        <v>374</v>
      </c>
      <c r="F73">
        <v>19</v>
      </c>
      <c r="G73">
        <v>63</v>
      </c>
      <c r="H73">
        <v>6.2</v>
      </c>
      <c r="I73">
        <v>15</v>
      </c>
      <c r="J73" t="b">
        <v>1</v>
      </c>
      <c r="K73" t="s">
        <v>43</v>
      </c>
    </row>
    <row r="74" spans="1:11" x14ac:dyDescent="0.35">
      <c r="A74" t="s">
        <v>51</v>
      </c>
      <c r="B74" t="s">
        <v>52</v>
      </c>
      <c r="C74" t="s">
        <v>53</v>
      </c>
      <c r="D74" t="s">
        <v>127</v>
      </c>
      <c r="E74">
        <v>140</v>
      </c>
      <c r="F74">
        <v>273</v>
      </c>
      <c r="G74">
        <v>21</v>
      </c>
      <c r="H74">
        <v>19.7</v>
      </c>
      <c r="I74">
        <v>10</v>
      </c>
      <c r="J74" t="b">
        <v>0</v>
      </c>
      <c r="K74" t="s">
        <v>16</v>
      </c>
    </row>
    <row r="75" spans="1:11" x14ac:dyDescent="0.35">
      <c r="A75" t="s">
        <v>51</v>
      </c>
      <c r="B75" t="s">
        <v>52</v>
      </c>
      <c r="C75" t="s">
        <v>53</v>
      </c>
      <c r="D75" t="s">
        <v>128</v>
      </c>
      <c r="E75">
        <v>314</v>
      </c>
      <c r="F75">
        <v>24</v>
      </c>
      <c r="G75">
        <v>28</v>
      </c>
      <c r="H75">
        <v>12.1</v>
      </c>
      <c r="I75">
        <v>10</v>
      </c>
      <c r="J75" t="b">
        <v>0</v>
      </c>
      <c r="K75" t="s">
        <v>16</v>
      </c>
    </row>
    <row r="76" spans="1:11" x14ac:dyDescent="0.35">
      <c r="A76" t="s">
        <v>51</v>
      </c>
      <c r="B76" t="s">
        <v>52</v>
      </c>
      <c r="C76" t="s">
        <v>53</v>
      </c>
      <c r="D76" t="s">
        <v>129</v>
      </c>
      <c r="E76">
        <v>344</v>
      </c>
      <c r="F76">
        <v>10</v>
      </c>
      <c r="G76">
        <v>21</v>
      </c>
      <c r="H76">
        <v>16.899999999999999</v>
      </c>
      <c r="I76">
        <v>10</v>
      </c>
      <c r="J76" t="b">
        <v>0</v>
      </c>
      <c r="K76" t="s">
        <v>16</v>
      </c>
    </row>
    <row r="77" spans="1:11" x14ac:dyDescent="0.35">
      <c r="A77" t="s">
        <v>51</v>
      </c>
      <c r="B77" t="s">
        <v>52</v>
      </c>
      <c r="C77" t="s">
        <v>53</v>
      </c>
      <c r="D77" t="s">
        <v>130</v>
      </c>
      <c r="E77">
        <v>363</v>
      </c>
      <c r="F77">
        <v>59</v>
      </c>
      <c r="G77">
        <v>68</v>
      </c>
      <c r="H77">
        <v>6.2</v>
      </c>
      <c r="I77">
        <v>10</v>
      </c>
      <c r="J77" t="b">
        <v>1</v>
      </c>
      <c r="K77" t="s">
        <v>43</v>
      </c>
    </row>
    <row r="78" spans="1:11" x14ac:dyDescent="0.35">
      <c r="A78" t="s">
        <v>54</v>
      </c>
      <c r="B78" t="s">
        <v>52</v>
      </c>
      <c r="C78" t="s">
        <v>55</v>
      </c>
      <c r="D78" t="s">
        <v>127</v>
      </c>
      <c r="E78">
        <v>237</v>
      </c>
      <c r="F78">
        <v>194</v>
      </c>
      <c r="G78">
        <v>30</v>
      </c>
      <c r="H78">
        <v>14.4</v>
      </c>
      <c r="I78">
        <v>8</v>
      </c>
      <c r="J78" t="b">
        <v>0</v>
      </c>
      <c r="K78" t="s">
        <v>16</v>
      </c>
    </row>
    <row r="79" spans="1:11" x14ac:dyDescent="0.35">
      <c r="A79" t="s">
        <v>54</v>
      </c>
      <c r="B79" t="s">
        <v>52</v>
      </c>
      <c r="C79" t="s">
        <v>55</v>
      </c>
      <c r="D79" t="s">
        <v>128</v>
      </c>
      <c r="E79">
        <v>290</v>
      </c>
      <c r="F79">
        <v>129</v>
      </c>
      <c r="G79">
        <v>75</v>
      </c>
      <c r="H79">
        <v>5.6</v>
      </c>
      <c r="I79">
        <v>8</v>
      </c>
      <c r="J79" t="b">
        <v>1</v>
      </c>
      <c r="K79" t="s">
        <v>43</v>
      </c>
    </row>
    <row r="80" spans="1:11" x14ac:dyDescent="0.35">
      <c r="A80" t="s">
        <v>54</v>
      </c>
      <c r="B80" t="s">
        <v>52</v>
      </c>
      <c r="C80" t="s">
        <v>55</v>
      </c>
      <c r="D80" t="s">
        <v>129</v>
      </c>
      <c r="E80">
        <v>369</v>
      </c>
      <c r="F80">
        <v>78</v>
      </c>
      <c r="G80">
        <v>41</v>
      </c>
      <c r="H80">
        <v>10.9</v>
      </c>
      <c r="I80">
        <v>8</v>
      </c>
      <c r="J80" t="b">
        <v>0</v>
      </c>
      <c r="K80" t="s">
        <v>10</v>
      </c>
    </row>
    <row r="81" spans="1:11" x14ac:dyDescent="0.35">
      <c r="A81" t="s">
        <v>54</v>
      </c>
      <c r="B81" t="s">
        <v>52</v>
      </c>
      <c r="C81" t="s">
        <v>55</v>
      </c>
      <c r="D81" t="s">
        <v>130</v>
      </c>
      <c r="E81">
        <v>365</v>
      </c>
      <c r="F81">
        <v>4</v>
      </c>
      <c r="G81">
        <v>53</v>
      </c>
      <c r="H81">
        <v>7</v>
      </c>
      <c r="I81">
        <v>8</v>
      </c>
      <c r="J81" t="b">
        <v>1</v>
      </c>
      <c r="K81" t="s">
        <v>43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1"/>
  <sheetViews>
    <sheetView workbookViewId="0">
      <selection sqref="A1:O351"/>
    </sheetView>
  </sheetViews>
  <sheetFormatPr defaultRowHeight="14.5" x14ac:dyDescent="0.35"/>
  <cols>
    <col min="1" max="1" width="13.08984375" customWidth="1"/>
    <col min="2" max="2" width="9.1796875" customWidth="1"/>
    <col min="3" max="3" width="12.26953125" customWidth="1"/>
    <col min="4" max="4" width="9.6328125" customWidth="1"/>
    <col min="5" max="5" width="22.1796875" bestFit="1" customWidth="1"/>
    <col min="7" max="7" width="10.26953125" customWidth="1"/>
    <col min="8" max="8" width="15.1796875" customWidth="1"/>
    <col min="9" max="9" width="15.453125" customWidth="1"/>
    <col min="10" max="10" width="18.1796875" customWidth="1"/>
    <col min="11" max="11" width="15.54296875" customWidth="1"/>
    <col min="12" max="12" width="17.26953125" customWidth="1"/>
    <col min="14" max="14" width="10.36328125" customWidth="1"/>
    <col min="15" max="15" width="11.36328125" customWidth="1"/>
  </cols>
  <sheetData>
    <row r="1" spans="1:15" x14ac:dyDescent="0.35">
      <c r="A1" t="s">
        <v>132</v>
      </c>
      <c r="B1" t="s">
        <v>0</v>
      </c>
      <c r="C1" t="s">
        <v>1</v>
      </c>
      <c r="D1" t="s">
        <v>2</v>
      </c>
      <c r="E1" t="s">
        <v>133</v>
      </c>
      <c r="F1" t="s">
        <v>119</v>
      </c>
      <c r="G1" t="s">
        <v>134</v>
      </c>
      <c r="H1" t="s">
        <v>135</v>
      </c>
      <c r="I1" t="s">
        <v>136</v>
      </c>
      <c r="J1" t="s">
        <v>137</v>
      </c>
      <c r="K1" t="s">
        <v>4</v>
      </c>
      <c r="L1" t="s">
        <v>138</v>
      </c>
      <c r="M1" t="s">
        <v>139</v>
      </c>
      <c r="N1" t="s">
        <v>140</v>
      </c>
      <c r="O1" t="s">
        <v>141</v>
      </c>
    </row>
    <row r="2" spans="1:15" x14ac:dyDescent="0.35">
      <c r="A2" t="s">
        <v>142</v>
      </c>
      <c r="B2" t="s">
        <v>7</v>
      </c>
      <c r="C2" t="s">
        <v>8</v>
      </c>
      <c r="D2" t="s">
        <v>9</v>
      </c>
      <c r="E2" t="s">
        <v>143</v>
      </c>
      <c r="F2" t="s">
        <v>130</v>
      </c>
      <c r="G2" t="s">
        <v>101</v>
      </c>
      <c r="H2" t="s">
        <v>144</v>
      </c>
      <c r="I2" t="s">
        <v>145</v>
      </c>
      <c r="J2">
        <v>383</v>
      </c>
      <c r="K2">
        <v>2976</v>
      </c>
      <c r="L2">
        <v>1139808</v>
      </c>
      <c r="M2" t="s">
        <v>146</v>
      </c>
      <c r="N2" t="b">
        <v>1</v>
      </c>
      <c r="O2">
        <v>0</v>
      </c>
    </row>
    <row r="3" spans="1:15" x14ac:dyDescent="0.35">
      <c r="A3" t="s">
        <v>147</v>
      </c>
      <c r="B3" t="s">
        <v>54</v>
      </c>
      <c r="C3" t="s">
        <v>52</v>
      </c>
      <c r="D3" t="s">
        <v>55</v>
      </c>
      <c r="E3" t="s">
        <v>143</v>
      </c>
      <c r="F3" t="s">
        <v>130</v>
      </c>
      <c r="G3" t="s">
        <v>148</v>
      </c>
      <c r="H3" t="s">
        <v>149</v>
      </c>
      <c r="I3" t="s">
        <v>150</v>
      </c>
      <c r="J3">
        <v>169</v>
      </c>
      <c r="K3">
        <v>45.36</v>
      </c>
      <c r="L3">
        <v>7665.84</v>
      </c>
      <c r="M3" t="s">
        <v>146</v>
      </c>
      <c r="N3" t="b">
        <v>1</v>
      </c>
      <c r="O3">
        <v>0</v>
      </c>
    </row>
    <row r="4" spans="1:15" x14ac:dyDescent="0.35">
      <c r="A4" t="s">
        <v>151</v>
      </c>
      <c r="B4" t="s">
        <v>31</v>
      </c>
      <c r="C4" t="s">
        <v>32</v>
      </c>
      <c r="D4" t="s">
        <v>33</v>
      </c>
      <c r="E4" t="s">
        <v>152</v>
      </c>
      <c r="F4" t="s">
        <v>127</v>
      </c>
      <c r="G4" t="s">
        <v>153</v>
      </c>
      <c r="H4" t="s">
        <v>154</v>
      </c>
      <c r="I4" t="s">
        <v>155</v>
      </c>
      <c r="J4">
        <v>292</v>
      </c>
      <c r="K4">
        <v>816</v>
      </c>
      <c r="L4">
        <v>238272</v>
      </c>
      <c r="M4" t="s">
        <v>146</v>
      </c>
      <c r="N4" t="b">
        <v>1</v>
      </c>
      <c r="O4">
        <v>0</v>
      </c>
    </row>
    <row r="5" spans="1:15" x14ac:dyDescent="0.35">
      <c r="A5" t="s">
        <v>156</v>
      </c>
      <c r="B5" t="s">
        <v>7</v>
      </c>
      <c r="C5" t="s">
        <v>8</v>
      </c>
      <c r="D5" t="s">
        <v>9</v>
      </c>
      <c r="E5" t="s">
        <v>152</v>
      </c>
      <c r="F5" t="s">
        <v>129</v>
      </c>
      <c r="G5" t="s">
        <v>157</v>
      </c>
      <c r="H5" t="s">
        <v>158</v>
      </c>
      <c r="I5" t="s">
        <v>107</v>
      </c>
      <c r="J5">
        <v>279</v>
      </c>
      <c r="K5">
        <v>2976</v>
      </c>
      <c r="L5">
        <v>830304</v>
      </c>
      <c r="M5" t="s">
        <v>159</v>
      </c>
      <c r="N5" t="b">
        <v>0</v>
      </c>
      <c r="O5">
        <v>24</v>
      </c>
    </row>
    <row r="6" spans="1:15" x14ac:dyDescent="0.35">
      <c r="A6" t="s">
        <v>160</v>
      </c>
      <c r="B6" t="s">
        <v>21</v>
      </c>
      <c r="C6" t="s">
        <v>22</v>
      </c>
      <c r="D6" t="s">
        <v>23</v>
      </c>
      <c r="E6" t="s">
        <v>152</v>
      </c>
      <c r="F6" t="s">
        <v>128</v>
      </c>
      <c r="G6" t="s">
        <v>161</v>
      </c>
      <c r="H6" t="s">
        <v>162</v>
      </c>
      <c r="I6" t="s">
        <v>163</v>
      </c>
      <c r="J6">
        <v>368</v>
      </c>
      <c r="K6">
        <v>200.2</v>
      </c>
      <c r="L6">
        <v>73673.600000000006</v>
      </c>
      <c r="M6" t="s">
        <v>146</v>
      </c>
      <c r="N6" t="b">
        <v>1</v>
      </c>
      <c r="O6">
        <v>0</v>
      </c>
    </row>
    <row r="7" spans="1:15" x14ac:dyDescent="0.35">
      <c r="A7" t="s">
        <v>164</v>
      </c>
      <c r="B7" t="s">
        <v>17</v>
      </c>
      <c r="C7" t="s">
        <v>14</v>
      </c>
      <c r="D7" t="s">
        <v>18</v>
      </c>
      <c r="E7" t="s">
        <v>165</v>
      </c>
      <c r="F7" t="s">
        <v>127</v>
      </c>
      <c r="G7" t="s">
        <v>99</v>
      </c>
      <c r="H7" t="s">
        <v>109</v>
      </c>
      <c r="I7" t="s">
        <v>166</v>
      </c>
      <c r="J7">
        <v>286</v>
      </c>
      <c r="K7">
        <v>513.6</v>
      </c>
      <c r="L7">
        <v>146889.60000000001</v>
      </c>
      <c r="M7" t="s">
        <v>159</v>
      </c>
      <c r="N7" t="b">
        <v>0</v>
      </c>
      <c r="O7">
        <v>9</v>
      </c>
    </row>
    <row r="8" spans="1:15" x14ac:dyDescent="0.35">
      <c r="A8" t="s">
        <v>167</v>
      </c>
      <c r="B8" t="s">
        <v>39</v>
      </c>
      <c r="C8" t="s">
        <v>37</v>
      </c>
      <c r="D8" t="s">
        <v>40</v>
      </c>
      <c r="E8" t="s">
        <v>143</v>
      </c>
      <c r="F8" t="s">
        <v>127</v>
      </c>
      <c r="G8" t="s">
        <v>168</v>
      </c>
      <c r="H8" t="s">
        <v>169</v>
      </c>
      <c r="I8" t="s">
        <v>91</v>
      </c>
      <c r="J8">
        <v>176</v>
      </c>
      <c r="K8">
        <v>187.25</v>
      </c>
      <c r="L8">
        <v>32956</v>
      </c>
      <c r="M8" t="s">
        <v>170</v>
      </c>
      <c r="N8" t="b">
        <v>1</v>
      </c>
      <c r="O8">
        <v>0</v>
      </c>
    </row>
    <row r="9" spans="1:15" x14ac:dyDescent="0.35">
      <c r="A9" t="s">
        <v>171</v>
      </c>
      <c r="B9" t="s">
        <v>49</v>
      </c>
      <c r="C9" t="s">
        <v>50</v>
      </c>
      <c r="D9" t="s">
        <v>33</v>
      </c>
      <c r="E9" t="s">
        <v>143</v>
      </c>
      <c r="F9" t="s">
        <v>130</v>
      </c>
      <c r="G9" t="s">
        <v>172</v>
      </c>
      <c r="H9" t="s">
        <v>173</v>
      </c>
      <c r="I9" t="s">
        <v>174</v>
      </c>
      <c r="J9">
        <v>173</v>
      </c>
      <c r="K9">
        <v>59.8</v>
      </c>
      <c r="L9">
        <v>10345.4</v>
      </c>
      <c r="M9" t="s">
        <v>170</v>
      </c>
      <c r="N9" t="b">
        <v>1</v>
      </c>
      <c r="O9">
        <v>0</v>
      </c>
    </row>
    <row r="10" spans="1:15" x14ac:dyDescent="0.35">
      <c r="A10" t="s">
        <v>175</v>
      </c>
      <c r="B10" t="s">
        <v>49</v>
      </c>
      <c r="C10" t="s">
        <v>50</v>
      </c>
      <c r="D10" t="s">
        <v>33</v>
      </c>
      <c r="E10" t="s">
        <v>152</v>
      </c>
      <c r="F10" t="s">
        <v>129</v>
      </c>
      <c r="G10" t="s">
        <v>176</v>
      </c>
      <c r="H10" t="s">
        <v>177</v>
      </c>
      <c r="I10" t="s">
        <v>178</v>
      </c>
      <c r="J10">
        <v>29</v>
      </c>
      <c r="K10">
        <v>59.8</v>
      </c>
      <c r="L10">
        <v>1734.2</v>
      </c>
      <c r="M10" t="s">
        <v>159</v>
      </c>
      <c r="N10" t="b">
        <v>0</v>
      </c>
      <c r="O10">
        <v>8</v>
      </c>
    </row>
    <row r="11" spans="1:15" x14ac:dyDescent="0.35">
      <c r="A11" t="s">
        <v>179</v>
      </c>
      <c r="B11" t="s">
        <v>19</v>
      </c>
      <c r="C11" t="s">
        <v>14</v>
      </c>
      <c r="D11" t="s">
        <v>20</v>
      </c>
      <c r="E11" t="s">
        <v>180</v>
      </c>
      <c r="F11" t="s">
        <v>128</v>
      </c>
      <c r="G11" t="s">
        <v>87</v>
      </c>
      <c r="H11" t="s">
        <v>101</v>
      </c>
      <c r="I11" t="s">
        <v>181</v>
      </c>
      <c r="J11">
        <v>343</v>
      </c>
      <c r="K11">
        <v>441.6</v>
      </c>
      <c r="L11">
        <v>151468.79999999999</v>
      </c>
      <c r="M11" t="s">
        <v>170</v>
      </c>
      <c r="N11" t="b">
        <v>1</v>
      </c>
      <c r="O11">
        <v>0</v>
      </c>
    </row>
    <row r="12" spans="1:15" x14ac:dyDescent="0.35">
      <c r="A12" t="s">
        <v>182</v>
      </c>
      <c r="B12" t="s">
        <v>13</v>
      </c>
      <c r="C12" t="s">
        <v>14</v>
      </c>
      <c r="D12" t="s">
        <v>15</v>
      </c>
      <c r="E12" t="s">
        <v>183</v>
      </c>
      <c r="F12" t="s">
        <v>127</v>
      </c>
      <c r="G12" t="s">
        <v>88</v>
      </c>
      <c r="H12" t="s">
        <v>99</v>
      </c>
      <c r="I12" t="s">
        <v>184</v>
      </c>
      <c r="J12">
        <v>229</v>
      </c>
      <c r="K12">
        <v>446.4</v>
      </c>
      <c r="L12">
        <v>102225.60000000001</v>
      </c>
      <c r="M12" t="s">
        <v>170</v>
      </c>
      <c r="N12" t="b">
        <v>1</v>
      </c>
      <c r="O12">
        <v>0</v>
      </c>
    </row>
    <row r="13" spans="1:15" x14ac:dyDescent="0.35">
      <c r="A13" t="s">
        <v>185</v>
      </c>
      <c r="B13" t="s">
        <v>41</v>
      </c>
      <c r="C13" t="s">
        <v>42</v>
      </c>
      <c r="D13" t="s">
        <v>23</v>
      </c>
      <c r="E13" t="s">
        <v>152</v>
      </c>
      <c r="F13" t="s">
        <v>129</v>
      </c>
      <c r="G13" t="s">
        <v>186</v>
      </c>
      <c r="H13" t="s">
        <v>187</v>
      </c>
      <c r="I13" t="s">
        <v>188</v>
      </c>
      <c r="J13">
        <v>110</v>
      </c>
      <c r="K13">
        <v>397.7</v>
      </c>
      <c r="L13">
        <v>43747</v>
      </c>
      <c r="M13" t="s">
        <v>146</v>
      </c>
      <c r="N13" t="b">
        <v>1</v>
      </c>
      <c r="O13">
        <v>0</v>
      </c>
    </row>
    <row r="14" spans="1:15" x14ac:dyDescent="0.35">
      <c r="A14" t="s">
        <v>189</v>
      </c>
      <c r="B14" t="s">
        <v>30</v>
      </c>
      <c r="C14" t="s">
        <v>27</v>
      </c>
      <c r="D14" t="s">
        <v>15</v>
      </c>
      <c r="E14" t="s">
        <v>143</v>
      </c>
      <c r="F14" t="s">
        <v>128</v>
      </c>
      <c r="G14" t="s">
        <v>190</v>
      </c>
      <c r="H14" t="s">
        <v>178</v>
      </c>
      <c r="I14" t="s">
        <v>191</v>
      </c>
      <c r="J14">
        <v>272</v>
      </c>
      <c r="K14">
        <v>102.6</v>
      </c>
      <c r="L14">
        <v>27907.200000000001</v>
      </c>
      <c r="M14" t="s">
        <v>159</v>
      </c>
      <c r="N14" t="b">
        <v>0</v>
      </c>
      <c r="O14">
        <v>25</v>
      </c>
    </row>
    <row r="15" spans="1:15" x14ac:dyDescent="0.35">
      <c r="A15" t="s">
        <v>192</v>
      </c>
      <c r="B15" t="s">
        <v>21</v>
      </c>
      <c r="C15" t="s">
        <v>22</v>
      </c>
      <c r="D15" t="s">
        <v>23</v>
      </c>
      <c r="E15" t="s">
        <v>180</v>
      </c>
      <c r="F15" t="s">
        <v>130</v>
      </c>
      <c r="G15" t="s">
        <v>169</v>
      </c>
      <c r="H15" t="s">
        <v>193</v>
      </c>
      <c r="I15" t="s">
        <v>194</v>
      </c>
      <c r="J15">
        <v>39</v>
      </c>
      <c r="K15">
        <v>200.2</v>
      </c>
      <c r="L15">
        <v>7807.8</v>
      </c>
      <c r="M15" t="s">
        <v>195</v>
      </c>
      <c r="N15" t="b">
        <v>1</v>
      </c>
      <c r="O15">
        <v>0</v>
      </c>
    </row>
    <row r="16" spans="1:15" x14ac:dyDescent="0.35">
      <c r="A16" t="s">
        <v>196</v>
      </c>
      <c r="B16" t="s">
        <v>41</v>
      </c>
      <c r="C16" t="s">
        <v>42</v>
      </c>
      <c r="D16" t="s">
        <v>23</v>
      </c>
      <c r="E16" t="s">
        <v>152</v>
      </c>
      <c r="F16" t="s">
        <v>128</v>
      </c>
      <c r="G16" t="s">
        <v>197</v>
      </c>
      <c r="H16" t="s">
        <v>188</v>
      </c>
      <c r="I16" t="s">
        <v>198</v>
      </c>
      <c r="J16">
        <v>250</v>
      </c>
      <c r="K16">
        <v>397.7</v>
      </c>
      <c r="L16">
        <v>99425</v>
      </c>
      <c r="M16" t="s">
        <v>159</v>
      </c>
      <c r="N16" t="b">
        <v>0</v>
      </c>
      <c r="O16">
        <v>20</v>
      </c>
    </row>
    <row r="17" spans="1:15" x14ac:dyDescent="0.35">
      <c r="A17" t="s">
        <v>199</v>
      </c>
      <c r="B17" t="s">
        <v>24</v>
      </c>
      <c r="C17" t="s">
        <v>22</v>
      </c>
      <c r="D17" t="s">
        <v>25</v>
      </c>
      <c r="E17" t="s">
        <v>143</v>
      </c>
      <c r="F17" t="s">
        <v>127</v>
      </c>
      <c r="G17" t="s">
        <v>82</v>
      </c>
      <c r="H17" t="s">
        <v>90</v>
      </c>
      <c r="I17" t="s">
        <v>200</v>
      </c>
      <c r="J17">
        <v>385</v>
      </c>
      <c r="K17">
        <v>209</v>
      </c>
      <c r="L17">
        <v>80465</v>
      </c>
      <c r="M17" t="s">
        <v>195</v>
      </c>
      <c r="N17" t="b">
        <v>1</v>
      </c>
      <c r="O17">
        <v>0</v>
      </c>
    </row>
    <row r="18" spans="1:15" x14ac:dyDescent="0.35">
      <c r="A18" t="s">
        <v>201</v>
      </c>
      <c r="B18" t="s">
        <v>41</v>
      </c>
      <c r="C18" t="s">
        <v>42</v>
      </c>
      <c r="D18" t="s">
        <v>23</v>
      </c>
      <c r="E18" t="s">
        <v>183</v>
      </c>
      <c r="F18" t="s">
        <v>128</v>
      </c>
      <c r="G18" t="s">
        <v>202</v>
      </c>
      <c r="H18" t="s">
        <v>203</v>
      </c>
      <c r="I18" t="s">
        <v>198</v>
      </c>
      <c r="J18">
        <v>73</v>
      </c>
      <c r="K18">
        <v>397.7</v>
      </c>
      <c r="L18">
        <v>29032.1</v>
      </c>
      <c r="M18" t="s">
        <v>170</v>
      </c>
      <c r="N18" t="b">
        <v>1</v>
      </c>
      <c r="O18">
        <v>0</v>
      </c>
    </row>
    <row r="19" spans="1:15" x14ac:dyDescent="0.35">
      <c r="A19" t="s">
        <v>204</v>
      </c>
      <c r="B19" t="s">
        <v>26</v>
      </c>
      <c r="C19" t="s">
        <v>27</v>
      </c>
      <c r="D19" t="s">
        <v>28</v>
      </c>
      <c r="E19" t="s">
        <v>152</v>
      </c>
      <c r="F19" t="s">
        <v>128</v>
      </c>
      <c r="G19" t="s">
        <v>205</v>
      </c>
      <c r="H19" t="s">
        <v>206</v>
      </c>
      <c r="I19" t="s">
        <v>99</v>
      </c>
      <c r="J19">
        <v>222</v>
      </c>
      <c r="K19">
        <v>99.75</v>
      </c>
      <c r="L19">
        <v>22144.5</v>
      </c>
      <c r="M19" t="s">
        <v>146</v>
      </c>
      <c r="N19" t="b">
        <v>1</v>
      </c>
      <c r="O19">
        <v>0</v>
      </c>
    </row>
    <row r="20" spans="1:15" x14ac:dyDescent="0.35">
      <c r="A20" t="s">
        <v>207</v>
      </c>
      <c r="B20" t="s">
        <v>29</v>
      </c>
      <c r="C20" t="s">
        <v>27</v>
      </c>
      <c r="D20" t="s">
        <v>20</v>
      </c>
      <c r="E20" t="s">
        <v>143</v>
      </c>
      <c r="F20" t="s">
        <v>127</v>
      </c>
      <c r="G20" t="s">
        <v>208</v>
      </c>
      <c r="H20" t="s">
        <v>177</v>
      </c>
      <c r="I20" t="s">
        <v>209</v>
      </c>
      <c r="J20">
        <v>278</v>
      </c>
      <c r="K20">
        <v>90.25</v>
      </c>
      <c r="L20">
        <v>25089.5</v>
      </c>
      <c r="M20" t="s">
        <v>146</v>
      </c>
      <c r="N20" t="b">
        <v>1</v>
      </c>
      <c r="O20">
        <v>0</v>
      </c>
    </row>
    <row r="21" spans="1:15" x14ac:dyDescent="0.35">
      <c r="A21" t="s">
        <v>210</v>
      </c>
      <c r="B21" t="s">
        <v>49</v>
      </c>
      <c r="C21" t="s">
        <v>50</v>
      </c>
      <c r="D21" t="s">
        <v>33</v>
      </c>
      <c r="E21" t="s">
        <v>152</v>
      </c>
      <c r="F21" t="s">
        <v>127</v>
      </c>
      <c r="G21" t="s">
        <v>211</v>
      </c>
      <c r="H21" t="s">
        <v>212</v>
      </c>
      <c r="I21" t="s">
        <v>213</v>
      </c>
      <c r="J21">
        <v>50</v>
      </c>
      <c r="K21">
        <v>59.8</v>
      </c>
      <c r="L21">
        <v>2990</v>
      </c>
      <c r="M21" t="s">
        <v>195</v>
      </c>
      <c r="N21" t="b">
        <v>1</v>
      </c>
      <c r="O21">
        <v>0</v>
      </c>
    </row>
    <row r="22" spans="1:15" x14ac:dyDescent="0.35">
      <c r="A22" t="s">
        <v>214</v>
      </c>
      <c r="B22" t="s">
        <v>39</v>
      </c>
      <c r="C22" t="s">
        <v>37</v>
      </c>
      <c r="D22" t="s">
        <v>40</v>
      </c>
      <c r="E22" t="s">
        <v>165</v>
      </c>
      <c r="F22" t="s">
        <v>128</v>
      </c>
      <c r="G22" t="s">
        <v>215</v>
      </c>
      <c r="H22" t="s">
        <v>216</v>
      </c>
      <c r="I22" t="s">
        <v>213</v>
      </c>
      <c r="J22">
        <v>65</v>
      </c>
      <c r="K22">
        <v>187.25</v>
      </c>
      <c r="L22">
        <v>12171.25</v>
      </c>
      <c r="M22" t="s">
        <v>170</v>
      </c>
      <c r="N22" t="b">
        <v>1</v>
      </c>
      <c r="O22">
        <v>0</v>
      </c>
    </row>
    <row r="23" spans="1:15" x14ac:dyDescent="0.35">
      <c r="A23" t="s">
        <v>217</v>
      </c>
      <c r="B23" t="s">
        <v>19</v>
      </c>
      <c r="C23" t="s">
        <v>14</v>
      </c>
      <c r="D23" t="s">
        <v>20</v>
      </c>
      <c r="E23" t="s">
        <v>165</v>
      </c>
      <c r="F23" t="s">
        <v>130</v>
      </c>
      <c r="G23" t="s">
        <v>218</v>
      </c>
      <c r="H23" t="s">
        <v>219</v>
      </c>
      <c r="I23" t="s">
        <v>220</v>
      </c>
      <c r="J23">
        <v>253</v>
      </c>
      <c r="K23">
        <v>441.6</v>
      </c>
      <c r="L23">
        <v>111724.8</v>
      </c>
      <c r="M23" t="s">
        <v>159</v>
      </c>
      <c r="N23" t="b">
        <v>0</v>
      </c>
      <c r="O23">
        <v>22</v>
      </c>
    </row>
    <row r="24" spans="1:15" x14ac:dyDescent="0.35">
      <c r="A24" t="s">
        <v>221</v>
      </c>
      <c r="B24" t="s">
        <v>13</v>
      </c>
      <c r="C24" t="s">
        <v>14</v>
      </c>
      <c r="D24" t="s">
        <v>15</v>
      </c>
      <c r="E24" t="s">
        <v>143</v>
      </c>
      <c r="F24" t="s">
        <v>129</v>
      </c>
      <c r="G24" t="s">
        <v>213</v>
      </c>
      <c r="H24" t="s">
        <v>166</v>
      </c>
      <c r="I24" t="s">
        <v>222</v>
      </c>
      <c r="J24">
        <v>77</v>
      </c>
      <c r="K24">
        <v>446.4</v>
      </c>
      <c r="L24">
        <v>34372.800000000003</v>
      </c>
      <c r="M24" t="s">
        <v>170</v>
      </c>
      <c r="N24" t="b">
        <v>1</v>
      </c>
      <c r="O24">
        <v>0</v>
      </c>
    </row>
    <row r="25" spans="1:15" x14ac:dyDescent="0.35">
      <c r="A25" t="s">
        <v>223</v>
      </c>
      <c r="B25" t="s">
        <v>17</v>
      </c>
      <c r="C25" t="s">
        <v>14</v>
      </c>
      <c r="D25" t="s">
        <v>18</v>
      </c>
      <c r="E25" t="s">
        <v>143</v>
      </c>
      <c r="F25" t="s">
        <v>130</v>
      </c>
      <c r="G25" t="s">
        <v>224</v>
      </c>
      <c r="H25" t="s">
        <v>225</v>
      </c>
      <c r="I25" t="s">
        <v>226</v>
      </c>
      <c r="J25">
        <v>334</v>
      </c>
      <c r="K25">
        <v>513.6</v>
      </c>
      <c r="L25">
        <v>171542.39999999999</v>
      </c>
      <c r="M25" t="s">
        <v>195</v>
      </c>
      <c r="N25" t="b">
        <v>1</v>
      </c>
      <c r="O25">
        <v>0</v>
      </c>
    </row>
    <row r="26" spans="1:15" x14ac:dyDescent="0.35">
      <c r="A26" t="s">
        <v>227</v>
      </c>
      <c r="B26" t="s">
        <v>51</v>
      </c>
      <c r="C26" t="s">
        <v>52</v>
      </c>
      <c r="D26" t="s">
        <v>53</v>
      </c>
      <c r="E26" t="s">
        <v>165</v>
      </c>
      <c r="F26" t="s">
        <v>129</v>
      </c>
      <c r="G26" t="s">
        <v>104</v>
      </c>
      <c r="H26" t="s">
        <v>112</v>
      </c>
      <c r="I26" t="s">
        <v>228</v>
      </c>
      <c r="J26">
        <v>258</v>
      </c>
      <c r="K26">
        <v>44.1</v>
      </c>
      <c r="L26">
        <v>11377.8</v>
      </c>
      <c r="M26" t="s">
        <v>170</v>
      </c>
      <c r="N26" t="b">
        <v>1</v>
      </c>
      <c r="O26">
        <v>0</v>
      </c>
    </row>
    <row r="27" spans="1:15" x14ac:dyDescent="0.35">
      <c r="A27" t="s">
        <v>229</v>
      </c>
      <c r="B27" t="s">
        <v>21</v>
      </c>
      <c r="C27" t="s">
        <v>22</v>
      </c>
      <c r="D27" t="s">
        <v>23</v>
      </c>
      <c r="E27" t="s">
        <v>143</v>
      </c>
      <c r="F27" t="s">
        <v>129</v>
      </c>
      <c r="G27" t="s">
        <v>230</v>
      </c>
      <c r="H27" t="s">
        <v>231</v>
      </c>
      <c r="I27" t="s">
        <v>231</v>
      </c>
      <c r="J27">
        <v>311</v>
      </c>
      <c r="K27">
        <v>200.2</v>
      </c>
      <c r="L27">
        <v>62262.2</v>
      </c>
      <c r="M27" t="s">
        <v>195</v>
      </c>
      <c r="N27" t="b">
        <v>1</v>
      </c>
      <c r="O27">
        <v>0</v>
      </c>
    </row>
    <row r="28" spans="1:15" x14ac:dyDescent="0.35">
      <c r="A28" t="s">
        <v>232</v>
      </c>
      <c r="B28" t="s">
        <v>31</v>
      </c>
      <c r="C28" t="s">
        <v>32</v>
      </c>
      <c r="D28" t="s">
        <v>33</v>
      </c>
      <c r="E28" t="s">
        <v>183</v>
      </c>
      <c r="F28" t="s">
        <v>130</v>
      </c>
      <c r="G28" t="s">
        <v>96</v>
      </c>
      <c r="H28" t="s">
        <v>111</v>
      </c>
      <c r="I28" t="s">
        <v>233</v>
      </c>
      <c r="J28">
        <v>138</v>
      </c>
      <c r="K28">
        <v>816</v>
      </c>
      <c r="L28">
        <v>112608</v>
      </c>
      <c r="M28" t="s">
        <v>159</v>
      </c>
      <c r="N28" t="b">
        <v>0</v>
      </c>
      <c r="O28">
        <v>28</v>
      </c>
    </row>
    <row r="29" spans="1:15" x14ac:dyDescent="0.35">
      <c r="A29" t="s">
        <v>234</v>
      </c>
      <c r="B29" t="s">
        <v>21</v>
      </c>
      <c r="C29" t="s">
        <v>22</v>
      </c>
      <c r="D29" t="s">
        <v>23</v>
      </c>
      <c r="E29" t="s">
        <v>183</v>
      </c>
      <c r="F29" t="s">
        <v>127</v>
      </c>
      <c r="G29" t="s">
        <v>235</v>
      </c>
      <c r="H29" t="s">
        <v>236</v>
      </c>
      <c r="I29" t="s">
        <v>237</v>
      </c>
      <c r="J29">
        <v>305</v>
      </c>
      <c r="K29">
        <v>200.2</v>
      </c>
      <c r="L29">
        <v>61061</v>
      </c>
      <c r="M29" t="s">
        <v>195</v>
      </c>
      <c r="N29" t="b">
        <v>1</v>
      </c>
      <c r="O29">
        <v>0</v>
      </c>
    </row>
    <row r="30" spans="1:15" x14ac:dyDescent="0.35">
      <c r="A30" t="s">
        <v>238</v>
      </c>
      <c r="B30" t="s">
        <v>36</v>
      </c>
      <c r="C30" t="s">
        <v>37</v>
      </c>
      <c r="D30" t="s">
        <v>38</v>
      </c>
      <c r="E30" t="s">
        <v>143</v>
      </c>
      <c r="F30" t="s">
        <v>129</v>
      </c>
      <c r="G30" t="s">
        <v>239</v>
      </c>
      <c r="H30" t="s">
        <v>240</v>
      </c>
      <c r="I30" t="s">
        <v>190</v>
      </c>
      <c r="J30">
        <v>96</v>
      </c>
      <c r="K30">
        <v>190.75</v>
      </c>
      <c r="L30">
        <v>18312</v>
      </c>
      <c r="M30" t="s">
        <v>195</v>
      </c>
      <c r="N30" t="b">
        <v>1</v>
      </c>
      <c r="O30">
        <v>0</v>
      </c>
    </row>
    <row r="31" spans="1:15" x14ac:dyDescent="0.35">
      <c r="A31" t="s">
        <v>241</v>
      </c>
      <c r="B31" t="s">
        <v>41</v>
      </c>
      <c r="C31" t="s">
        <v>42</v>
      </c>
      <c r="D31" t="s">
        <v>23</v>
      </c>
      <c r="E31" t="s">
        <v>143</v>
      </c>
      <c r="F31" t="s">
        <v>130</v>
      </c>
      <c r="G31" t="s">
        <v>242</v>
      </c>
      <c r="H31" t="s">
        <v>216</v>
      </c>
      <c r="I31" t="s">
        <v>213</v>
      </c>
      <c r="J31">
        <v>86</v>
      </c>
      <c r="K31">
        <v>397.7</v>
      </c>
      <c r="L31">
        <v>34202.199999999997</v>
      </c>
      <c r="M31" t="s">
        <v>170</v>
      </c>
      <c r="N31" t="b">
        <v>1</v>
      </c>
      <c r="O31">
        <v>0</v>
      </c>
    </row>
    <row r="32" spans="1:15" x14ac:dyDescent="0.35">
      <c r="A32" t="s">
        <v>243</v>
      </c>
      <c r="B32" t="s">
        <v>11</v>
      </c>
      <c r="C32" t="s">
        <v>8</v>
      </c>
      <c r="D32" t="s">
        <v>12</v>
      </c>
      <c r="E32" t="s">
        <v>152</v>
      </c>
      <c r="F32" t="s">
        <v>128</v>
      </c>
      <c r="G32" t="s">
        <v>244</v>
      </c>
      <c r="H32" t="s">
        <v>245</v>
      </c>
      <c r="I32" t="s">
        <v>246</v>
      </c>
      <c r="J32">
        <v>237</v>
      </c>
      <c r="K32">
        <v>3104</v>
      </c>
      <c r="L32">
        <v>735648</v>
      </c>
      <c r="M32" t="s">
        <v>146</v>
      </c>
      <c r="N32" t="b">
        <v>1</v>
      </c>
      <c r="O32">
        <v>0</v>
      </c>
    </row>
    <row r="33" spans="1:15" x14ac:dyDescent="0.35">
      <c r="A33" t="s">
        <v>247</v>
      </c>
      <c r="B33" t="s">
        <v>36</v>
      </c>
      <c r="C33" t="s">
        <v>37</v>
      </c>
      <c r="D33" t="s">
        <v>38</v>
      </c>
      <c r="E33" t="s">
        <v>152</v>
      </c>
      <c r="F33" t="s">
        <v>127</v>
      </c>
      <c r="G33" t="s">
        <v>248</v>
      </c>
      <c r="H33" t="s">
        <v>249</v>
      </c>
      <c r="I33" t="s">
        <v>250</v>
      </c>
      <c r="J33">
        <v>93</v>
      </c>
      <c r="K33">
        <v>190.75</v>
      </c>
      <c r="L33">
        <v>17739.75</v>
      </c>
      <c r="M33" t="s">
        <v>170</v>
      </c>
      <c r="N33" t="b">
        <v>1</v>
      </c>
      <c r="O33">
        <v>0</v>
      </c>
    </row>
    <row r="34" spans="1:15" x14ac:dyDescent="0.35">
      <c r="A34" t="s">
        <v>251</v>
      </c>
      <c r="B34" t="s">
        <v>47</v>
      </c>
      <c r="C34" t="s">
        <v>45</v>
      </c>
      <c r="D34" t="s">
        <v>48</v>
      </c>
      <c r="E34" t="s">
        <v>165</v>
      </c>
      <c r="F34" t="s">
        <v>127</v>
      </c>
      <c r="G34" t="s">
        <v>252</v>
      </c>
      <c r="H34" t="s">
        <v>253</v>
      </c>
      <c r="I34" t="s">
        <v>254</v>
      </c>
      <c r="J34">
        <v>324</v>
      </c>
      <c r="K34">
        <v>26.04</v>
      </c>
      <c r="L34">
        <v>8436.9599999999991</v>
      </c>
      <c r="M34" t="s">
        <v>170</v>
      </c>
      <c r="N34" t="b">
        <v>1</v>
      </c>
      <c r="O34">
        <v>0</v>
      </c>
    </row>
    <row r="35" spans="1:15" x14ac:dyDescent="0.35">
      <c r="A35" t="s">
        <v>255</v>
      </c>
      <c r="B35" t="s">
        <v>31</v>
      </c>
      <c r="C35" t="s">
        <v>32</v>
      </c>
      <c r="D35" t="s">
        <v>33</v>
      </c>
      <c r="E35" t="s">
        <v>165</v>
      </c>
      <c r="F35" t="s">
        <v>128</v>
      </c>
      <c r="G35" t="s">
        <v>256</v>
      </c>
      <c r="H35" t="s">
        <v>215</v>
      </c>
      <c r="I35" t="s">
        <v>257</v>
      </c>
      <c r="J35">
        <v>78</v>
      </c>
      <c r="K35">
        <v>816</v>
      </c>
      <c r="L35">
        <v>63648</v>
      </c>
      <c r="M35" t="s">
        <v>170</v>
      </c>
      <c r="N35" t="b">
        <v>1</v>
      </c>
      <c r="O35">
        <v>0</v>
      </c>
    </row>
    <row r="36" spans="1:15" x14ac:dyDescent="0.35">
      <c r="A36" t="s">
        <v>258</v>
      </c>
      <c r="B36" t="s">
        <v>31</v>
      </c>
      <c r="C36" t="s">
        <v>32</v>
      </c>
      <c r="D36" t="s">
        <v>33</v>
      </c>
      <c r="E36" t="s">
        <v>165</v>
      </c>
      <c r="F36" t="s">
        <v>129</v>
      </c>
      <c r="G36" t="s">
        <v>91</v>
      </c>
      <c r="H36" t="s">
        <v>106</v>
      </c>
      <c r="I36" t="s">
        <v>259</v>
      </c>
      <c r="J36">
        <v>379</v>
      </c>
      <c r="K36">
        <v>816</v>
      </c>
      <c r="L36">
        <v>309264</v>
      </c>
      <c r="M36" t="s">
        <v>146</v>
      </c>
      <c r="N36" t="b">
        <v>1</v>
      </c>
      <c r="O36">
        <v>0</v>
      </c>
    </row>
    <row r="37" spans="1:15" x14ac:dyDescent="0.35">
      <c r="A37" t="s">
        <v>260</v>
      </c>
      <c r="B37" t="s">
        <v>31</v>
      </c>
      <c r="C37" t="s">
        <v>32</v>
      </c>
      <c r="D37" t="s">
        <v>33</v>
      </c>
      <c r="E37" t="s">
        <v>152</v>
      </c>
      <c r="F37" t="s">
        <v>129</v>
      </c>
      <c r="G37" t="s">
        <v>88</v>
      </c>
      <c r="H37" t="s">
        <v>103</v>
      </c>
      <c r="I37" t="s">
        <v>261</v>
      </c>
      <c r="J37">
        <v>93</v>
      </c>
      <c r="K37">
        <v>816</v>
      </c>
      <c r="L37">
        <v>75888</v>
      </c>
      <c r="M37" t="s">
        <v>146</v>
      </c>
      <c r="N37" t="b">
        <v>1</v>
      </c>
      <c r="O37">
        <v>0</v>
      </c>
    </row>
    <row r="38" spans="1:15" x14ac:dyDescent="0.35">
      <c r="A38" t="s">
        <v>262</v>
      </c>
      <c r="B38" t="s">
        <v>26</v>
      </c>
      <c r="C38" t="s">
        <v>27</v>
      </c>
      <c r="D38" t="s">
        <v>28</v>
      </c>
      <c r="E38" t="s">
        <v>165</v>
      </c>
      <c r="F38" t="s">
        <v>130</v>
      </c>
      <c r="G38" t="s">
        <v>263</v>
      </c>
      <c r="H38" t="s">
        <v>264</v>
      </c>
      <c r="I38" t="s">
        <v>265</v>
      </c>
      <c r="J38">
        <v>185</v>
      </c>
      <c r="K38">
        <v>99.75</v>
      </c>
      <c r="L38">
        <v>18453.75</v>
      </c>
      <c r="M38" t="s">
        <v>195</v>
      </c>
      <c r="N38" t="b">
        <v>1</v>
      </c>
      <c r="O38">
        <v>0</v>
      </c>
    </row>
    <row r="39" spans="1:15" x14ac:dyDescent="0.35">
      <c r="A39" t="s">
        <v>266</v>
      </c>
      <c r="B39" t="s">
        <v>13</v>
      </c>
      <c r="C39" t="s">
        <v>14</v>
      </c>
      <c r="D39" t="s">
        <v>15</v>
      </c>
      <c r="E39" t="s">
        <v>180</v>
      </c>
      <c r="F39" t="s">
        <v>128</v>
      </c>
      <c r="G39" t="s">
        <v>267</v>
      </c>
      <c r="H39" t="s">
        <v>200</v>
      </c>
      <c r="I39" t="s">
        <v>191</v>
      </c>
      <c r="J39">
        <v>376</v>
      </c>
      <c r="K39">
        <v>446.4</v>
      </c>
      <c r="L39">
        <v>167846.39999999999</v>
      </c>
      <c r="M39" t="s">
        <v>170</v>
      </c>
      <c r="N39" t="b">
        <v>1</v>
      </c>
      <c r="O39">
        <v>0</v>
      </c>
    </row>
    <row r="40" spans="1:15" x14ac:dyDescent="0.35">
      <c r="A40" t="s">
        <v>268</v>
      </c>
      <c r="B40" t="s">
        <v>17</v>
      </c>
      <c r="C40" t="s">
        <v>14</v>
      </c>
      <c r="D40" t="s">
        <v>18</v>
      </c>
      <c r="E40" t="s">
        <v>180</v>
      </c>
      <c r="F40" t="s">
        <v>128</v>
      </c>
      <c r="G40" t="s">
        <v>237</v>
      </c>
      <c r="H40" t="s">
        <v>219</v>
      </c>
      <c r="I40" t="s">
        <v>264</v>
      </c>
      <c r="J40">
        <v>190</v>
      </c>
      <c r="K40">
        <v>513.6</v>
      </c>
      <c r="L40">
        <v>97584</v>
      </c>
      <c r="M40" t="s">
        <v>195</v>
      </c>
      <c r="N40" t="b">
        <v>1</v>
      </c>
      <c r="O40">
        <v>0</v>
      </c>
    </row>
    <row r="41" spans="1:15" x14ac:dyDescent="0.35">
      <c r="A41" t="s">
        <v>269</v>
      </c>
      <c r="B41" t="s">
        <v>44</v>
      </c>
      <c r="C41" t="s">
        <v>45</v>
      </c>
      <c r="D41" t="s">
        <v>46</v>
      </c>
      <c r="E41" t="s">
        <v>183</v>
      </c>
      <c r="F41" t="s">
        <v>127</v>
      </c>
      <c r="G41" t="s">
        <v>104</v>
      </c>
      <c r="H41" t="s">
        <v>109</v>
      </c>
      <c r="I41" t="s">
        <v>222</v>
      </c>
      <c r="J41">
        <v>366</v>
      </c>
      <c r="K41">
        <v>31.92</v>
      </c>
      <c r="L41">
        <v>11682.72</v>
      </c>
      <c r="M41" t="s">
        <v>195</v>
      </c>
      <c r="N41" t="b">
        <v>1</v>
      </c>
      <c r="O41">
        <v>0</v>
      </c>
    </row>
    <row r="42" spans="1:15" x14ac:dyDescent="0.35">
      <c r="A42" t="s">
        <v>270</v>
      </c>
      <c r="B42" t="s">
        <v>41</v>
      </c>
      <c r="C42" t="s">
        <v>42</v>
      </c>
      <c r="D42" t="s">
        <v>23</v>
      </c>
      <c r="E42" t="s">
        <v>165</v>
      </c>
      <c r="F42" t="s">
        <v>130</v>
      </c>
      <c r="G42" t="s">
        <v>271</v>
      </c>
      <c r="H42" t="s">
        <v>272</v>
      </c>
      <c r="I42" t="s">
        <v>102</v>
      </c>
      <c r="J42">
        <v>31</v>
      </c>
      <c r="K42">
        <v>397.7</v>
      </c>
      <c r="L42">
        <v>12328.7</v>
      </c>
      <c r="M42" t="s">
        <v>195</v>
      </c>
      <c r="N42" t="b">
        <v>1</v>
      </c>
      <c r="O42">
        <v>0</v>
      </c>
    </row>
    <row r="43" spans="1:15" x14ac:dyDescent="0.35">
      <c r="A43" t="s">
        <v>273</v>
      </c>
      <c r="B43" t="s">
        <v>36</v>
      </c>
      <c r="C43" t="s">
        <v>37</v>
      </c>
      <c r="D43" t="s">
        <v>38</v>
      </c>
      <c r="E43" t="s">
        <v>143</v>
      </c>
      <c r="F43" t="s">
        <v>127</v>
      </c>
      <c r="G43" t="s">
        <v>274</v>
      </c>
      <c r="H43" t="s">
        <v>275</v>
      </c>
      <c r="I43" t="s">
        <v>276</v>
      </c>
      <c r="J43">
        <v>53</v>
      </c>
      <c r="K43">
        <v>190.75</v>
      </c>
      <c r="L43">
        <v>10109.75</v>
      </c>
      <c r="M43" t="s">
        <v>159</v>
      </c>
      <c r="N43" t="b">
        <v>0</v>
      </c>
      <c r="O43">
        <v>28</v>
      </c>
    </row>
    <row r="44" spans="1:15" x14ac:dyDescent="0.35">
      <c r="A44" t="s">
        <v>277</v>
      </c>
      <c r="B44" t="s">
        <v>19</v>
      </c>
      <c r="C44" t="s">
        <v>14</v>
      </c>
      <c r="D44" t="s">
        <v>20</v>
      </c>
      <c r="E44" t="s">
        <v>183</v>
      </c>
      <c r="F44" t="s">
        <v>128</v>
      </c>
      <c r="G44" t="s">
        <v>278</v>
      </c>
      <c r="H44" t="s">
        <v>279</v>
      </c>
      <c r="I44" t="s">
        <v>280</v>
      </c>
      <c r="J44">
        <v>153</v>
      </c>
      <c r="K44">
        <v>441.6</v>
      </c>
      <c r="L44">
        <v>67564.800000000003</v>
      </c>
      <c r="M44" t="s">
        <v>146</v>
      </c>
      <c r="N44" t="b">
        <v>1</v>
      </c>
      <c r="O44">
        <v>0</v>
      </c>
    </row>
    <row r="45" spans="1:15" x14ac:dyDescent="0.35">
      <c r="A45" t="s">
        <v>281</v>
      </c>
      <c r="B45" t="s">
        <v>36</v>
      </c>
      <c r="C45" t="s">
        <v>37</v>
      </c>
      <c r="D45" t="s">
        <v>38</v>
      </c>
      <c r="E45" t="s">
        <v>183</v>
      </c>
      <c r="F45" t="s">
        <v>127</v>
      </c>
      <c r="G45" t="s">
        <v>282</v>
      </c>
      <c r="H45" t="s">
        <v>283</v>
      </c>
      <c r="I45" t="s">
        <v>284</v>
      </c>
      <c r="J45">
        <v>208</v>
      </c>
      <c r="K45">
        <v>190.75</v>
      </c>
      <c r="L45">
        <v>39676</v>
      </c>
      <c r="M45" t="s">
        <v>170</v>
      </c>
      <c r="N45" t="b">
        <v>1</v>
      </c>
      <c r="O45">
        <v>0</v>
      </c>
    </row>
    <row r="46" spans="1:15" x14ac:dyDescent="0.35">
      <c r="A46" t="s">
        <v>285</v>
      </c>
      <c r="B46" t="s">
        <v>36</v>
      </c>
      <c r="C46" t="s">
        <v>37</v>
      </c>
      <c r="D46" t="s">
        <v>38</v>
      </c>
      <c r="E46" t="s">
        <v>165</v>
      </c>
      <c r="F46" t="s">
        <v>127</v>
      </c>
      <c r="G46" t="s">
        <v>104</v>
      </c>
      <c r="H46" t="s">
        <v>112</v>
      </c>
      <c r="I46" t="s">
        <v>228</v>
      </c>
      <c r="J46">
        <v>312</v>
      </c>
      <c r="K46">
        <v>190.75</v>
      </c>
      <c r="L46">
        <v>59514</v>
      </c>
      <c r="M46" t="s">
        <v>170</v>
      </c>
      <c r="N46" t="b">
        <v>1</v>
      </c>
      <c r="O46">
        <v>0</v>
      </c>
    </row>
    <row r="47" spans="1:15" x14ac:dyDescent="0.35">
      <c r="A47" t="s">
        <v>286</v>
      </c>
      <c r="B47" t="s">
        <v>26</v>
      </c>
      <c r="C47" t="s">
        <v>27</v>
      </c>
      <c r="D47" t="s">
        <v>28</v>
      </c>
      <c r="E47" t="s">
        <v>165</v>
      </c>
      <c r="F47" t="s">
        <v>128</v>
      </c>
      <c r="G47" t="s">
        <v>84</v>
      </c>
      <c r="H47" t="s">
        <v>94</v>
      </c>
      <c r="I47" t="s">
        <v>287</v>
      </c>
      <c r="J47">
        <v>220</v>
      </c>
      <c r="K47">
        <v>99.75</v>
      </c>
      <c r="L47">
        <v>21945</v>
      </c>
      <c r="M47" t="s">
        <v>170</v>
      </c>
      <c r="N47" t="b">
        <v>1</v>
      </c>
      <c r="O47">
        <v>0</v>
      </c>
    </row>
    <row r="48" spans="1:15" x14ac:dyDescent="0.35">
      <c r="A48" t="s">
        <v>288</v>
      </c>
      <c r="B48" t="s">
        <v>34</v>
      </c>
      <c r="C48" t="s">
        <v>32</v>
      </c>
      <c r="D48" t="s">
        <v>35</v>
      </c>
      <c r="E48" t="s">
        <v>183</v>
      </c>
      <c r="F48" t="s">
        <v>130</v>
      </c>
      <c r="G48" t="s">
        <v>261</v>
      </c>
      <c r="H48" t="s">
        <v>289</v>
      </c>
      <c r="I48" t="s">
        <v>290</v>
      </c>
      <c r="J48">
        <v>128</v>
      </c>
      <c r="K48">
        <v>824.5</v>
      </c>
      <c r="L48">
        <v>105536</v>
      </c>
      <c r="M48" t="s">
        <v>159</v>
      </c>
      <c r="N48" t="b">
        <v>0</v>
      </c>
      <c r="O48">
        <v>15</v>
      </c>
    </row>
    <row r="49" spans="1:15" x14ac:dyDescent="0.35">
      <c r="A49" t="s">
        <v>291</v>
      </c>
      <c r="B49" t="s">
        <v>47</v>
      </c>
      <c r="C49" t="s">
        <v>45</v>
      </c>
      <c r="D49" t="s">
        <v>48</v>
      </c>
      <c r="E49" t="s">
        <v>180</v>
      </c>
      <c r="F49" t="s">
        <v>130</v>
      </c>
      <c r="G49" t="s">
        <v>292</v>
      </c>
      <c r="H49" t="s">
        <v>245</v>
      </c>
      <c r="I49" t="s">
        <v>293</v>
      </c>
      <c r="J49">
        <v>333</v>
      </c>
      <c r="K49">
        <v>26.04</v>
      </c>
      <c r="L49">
        <v>8671.32</v>
      </c>
      <c r="M49" t="s">
        <v>146</v>
      </c>
      <c r="N49" t="b">
        <v>1</v>
      </c>
      <c r="O49">
        <v>0</v>
      </c>
    </row>
    <row r="50" spans="1:15" x14ac:dyDescent="0.35">
      <c r="A50" t="s">
        <v>294</v>
      </c>
      <c r="B50" t="s">
        <v>26</v>
      </c>
      <c r="C50" t="s">
        <v>27</v>
      </c>
      <c r="D50" t="s">
        <v>28</v>
      </c>
      <c r="E50" t="s">
        <v>183</v>
      </c>
      <c r="F50" t="s">
        <v>128</v>
      </c>
      <c r="G50" t="s">
        <v>218</v>
      </c>
      <c r="H50" t="s">
        <v>150</v>
      </c>
      <c r="I50" t="s">
        <v>219</v>
      </c>
      <c r="J50">
        <v>63</v>
      </c>
      <c r="K50">
        <v>99.75</v>
      </c>
      <c r="L50">
        <v>6284.25</v>
      </c>
      <c r="M50" t="s">
        <v>159</v>
      </c>
      <c r="N50" t="b">
        <v>0</v>
      </c>
      <c r="O50">
        <v>28</v>
      </c>
    </row>
    <row r="51" spans="1:15" x14ac:dyDescent="0.35">
      <c r="A51" t="s">
        <v>295</v>
      </c>
      <c r="B51" t="s">
        <v>13</v>
      </c>
      <c r="C51" t="s">
        <v>14</v>
      </c>
      <c r="D51" t="s">
        <v>15</v>
      </c>
      <c r="E51" t="s">
        <v>180</v>
      </c>
      <c r="F51" t="s">
        <v>128</v>
      </c>
      <c r="G51" t="s">
        <v>296</v>
      </c>
      <c r="H51" t="s">
        <v>297</v>
      </c>
      <c r="I51" t="s">
        <v>228</v>
      </c>
      <c r="J51">
        <v>244</v>
      </c>
      <c r="K51">
        <v>446.4</v>
      </c>
      <c r="L51">
        <v>108921.60000000001</v>
      </c>
      <c r="M51" t="s">
        <v>159</v>
      </c>
      <c r="N51" t="b">
        <v>0</v>
      </c>
      <c r="O51">
        <v>8</v>
      </c>
    </row>
    <row r="52" spans="1:15" x14ac:dyDescent="0.35">
      <c r="A52" t="s">
        <v>298</v>
      </c>
      <c r="B52" t="s">
        <v>7</v>
      </c>
      <c r="C52" t="s">
        <v>8</v>
      </c>
      <c r="D52" t="s">
        <v>9</v>
      </c>
      <c r="E52" t="s">
        <v>165</v>
      </c>
      <c r="F52" t="s">
        <v>129</v>
      </c>
      <c r="G52" t="s">
        <v>299</v>
      </c>
      <c r="H52" t="s">
        <v>181</v>
      </c>
      <c r="I52" t="s">
        <v>250</v>
      </c>
      <c r="J52">
        <v>155</v>
      </c>
      <c r="K52">
        <v>2976</v>
      </c>
      <c r="L52">
        <v>461280</v>
      </c>
      <c r="M52" t="s">
        <v>159</v>
      </c>
      <c r="N52" t="b">
        <v>0</v>
      </c>
      <c r="O52">
        <v>25</v>
      </c>
    </row>
    <row r="53" spans="1:15" x14ac:dyDescent="0.35">
      <c r="A53" t="s">
        <v>300</v>
      </c>
      <c r="B53" t="s">
        <v>24</v>
      </c>
      <c r="C53" t="s">
        <v>22</v>
      </c>
      <c r="D53" t="s">
        <v>25</v>
      </c>
      <c r="E53" t="s">
        <v>183</v>
      </c>
      <c r="F53" t="s">
        <v>127</v>
      </c>
      <c r="G53" t="s">
        <v>97</v>
      </c>
      <c r="H53" t="s">
        <v>105</v>
      </c>
      <c r="I53" t="s">
        <v>301</v>
      </c>
      <c r="J53">
        <v>45</v>
      </c>
      <c r="K53">
        <v>209</v>
      </c>
      <c r="L53">
        <v>9405</v>
      </c>
      <c r="M53" t="s">
        <v>146</v>
      </c>
      <c r="N53" t="b">
        <v>1</v>
      </c>
      <c r="O53">
        <v>0</v>
      </c>
    </row>
    <row r="54" spans="1:15" x14ac:dyDescent="0.35">
      <c r="A54" t="s">
        <v>302</v>
      </c>
      <c r="B54" t="s">
        <v>34</v>
      </c>
      <c r="C54" t="s">
        <v>32</v>
      </c>
      <c r="D54" t="s">
        <v>35</v>
      </c>
      <c r="E54" t="s">
        <v>165</v>
      </c>
      <c r="F54" t="s">
        <v>129</v>
      </c>
      <c r="G54" t="s">
        <v>303</v>
      </c>
      <c r="H54" t="s">
        <v>304</v>
      </c>
      <c r="I54" t="s">
        <v>305</v>
      </c>
      <c r="J54">
        <v>340</v>
      </c>
      <c r="K54">
        <v>824.5</v>
      </c>
      <c r="L54">
        <v>280330</v>
      </c>
      <c r="M54" t="s">
        <v>195</v>
      </c>
      <c r="N54" t="b">
        <v>1</v>
      </c>
      <c r="O54">
        <v>0</v>
      </c>
    </row>
    <row r="55" spans="1:15" x14ac:dyDescent="0.35">
      <c r="A55" t="s">
        <v>306</v>
      </c>
      <c r="B55" t="s">
        <v>34</v>
      </c>
      <c r="C55" t="s">
        <v>32</v>
      </c>
      <c r="D55" t="s">
        <v>35</v>
      </c>
      <c r="E55" t="s">
        <v>152</v>
      </c>
      <c r="F55" t="s">
        <v>129</v>
      </c>
      <c r="G55" t="s">
        <v>250</v>
      </c>
      <c r="H55" t="s">
        <v>307</v>
      </c>
      <c r="I55" t="s">
        <v>308</v>
      </c>
      <c r="J55">
        <v>387</v>
      </c>
      <c r="K55">
        <v>824.5</v>
      </c>
      <c r="L55">
        <v>319081.5</v>
      </c>
      <c r="M55" t="s">
        <v>170</v>
      </c>
      <c r="N55" t="b">
        <v>1</v>
      </c>
      <c r="O55">
        <v>0</v>
      </c>
    </row>
    <row r="56" spans="1:15" x14ac:dyDescent="0.35">
      <c r="A56" t="s">
        <v>309</v>
      </c>
      <c r="B56" t="s">
        <v>49</v>
      </c>
      <c r="C56" t="s">
        <v>50</v>
      </c>
      <c r="D56" t="s">
        <v>33</v>
      </c>
      <c r="E56" t="s">
        <v>180</v>
      </c>
      <c r="F56" t="s">
        <v>128</v>
      </c>
      <c r="G56" t="s">
        <v>101</v>
      </c>
      <c r="H56" t="s">
        <v>114</v>
      </c>
      <c r="I56" t="s">
        <v>310</v>
      </c>
      <c r="J56">
        <v>106</v>
      </c>
      <c r="K56">
        <v>59.8</v>
      </c>
      <c r="L56">
        <v>6338.8</v>
      </c>
      <c r="M56" t="s">
        <v>159</v>
      </c>
      <c r="N56" t="b">
        <v>0</v>
      </c>
      <c r="O56">
        <v>23</v>
      </c>
    </row>
    <row r="57" spans="1:15" x14ac:dyDescent="0.35">
      <c r="A57" t="s">
        <v>311</v>
      </c>
      <c r="B57" t="s">
        <v>54</v>
      </c>
      <c r="C57" t="s">
        <v>52</v>
      </c>
      <c r="D57" t="s">
        <v>55</v>
      </c>
      <c r="E57" t="s">
        <v>165</v>
      </c>
      <c r="F57" t="s">
        <v>130</v>
      </c>
      <c r="G57" t="s">
        <v>312</v>
      </c>
      <c r="H57" t="s">
        <v>313</v>
      </c>
      <c r="I57" t="s">
        <v>313</v>
      </c>
      <c r="J57">
        <v>138</v>
      </c>
      <c r="K57">
        <v>45.36</v>
      </c>
      <c r="L57">
        <v>6259.68</v>
      </c>
      <c r="M57" t="s">
        <v>146</v>
      </c>
      <c r="N57" t="b">
        <v>1</v>
      </c>
      <c r="O57">
        <v>0</v>
      </c>
    </row>
    <row r="58" spans="1:15" x14ac:dyDescent="0.35">
      <c r="A58" t="s">
        <v>314</v>
      </c>
      <c r="B58" t="s">
        <v>44</v>
      </c>
      <c r="C58" t="s">
        <v>45</v>
      </c>
      <c r="D58" t="s">
        <v>46</v>
      </c>
      <c r="E58" t="s">
        <v>183</v>
      </c>
      <c r="F58" t="s">
        <v>129</v>
      </c>
      <c r="G58" t="s">
        <v>200</v>
      </c>
      <c r="H58" t="s">
        <v>315</v>
      </c>
      <c r="I58" t="s">
        <v>316</v>
      </c>
      <c r="J58">
        <v>296</v>
      </c>
      <c r="K58">
        <v>31.92</v>
      </c>
      <c r="L58">
        <v>9448.32</v>
      </c>
      <c r="M58" t="s">
        <v>170</v>
      </c>
      <c r="N58" t="b">
        <v>1</v>
      </c>
      <c r="O58">
        <v>0</v>
      </c>
    </row>
    <row r="59" spans="1:15" x14ac:dyDescent="0.35">
      <c r="A59" t="s">
        <v>317</v>
      </c>
      <c r="B59" t="s">
        <v>34</v>
      </c>
      <c r="C59" t="s">
        <v>32</v>
      </c>
      <c r="D59" t="s">
        <v>35</v>
      </c>
      <c r="E59" t="s">
        <v>143</v>
      </c>
      <c r="F59" t="s">
        <v>127</v>
      </c>
      <c r="G59" t="s">
        <v>205</v>
      </c>
      <c r="H59" t="s">
        <v>318</v>
      </c>
      <c r="I59" t="s">
        <v>105</v>
      </c>
      <c r="J59">
        <v>339</v>
      </c>
      <c r="K59">
        <v>824.5</v>
      </c>
      <c r="L59">
        <v>279505.5</v>
      </c>
      <c r="M59" t="s">
        <v>195</v>
      </c>
      <c r="N59" t="b">
        <v>1</v>
      </c>
      <c r="O59">
        <v>0</v>
      </c>
    </row>
    <row r="60" spans="1:15" x14ac:dyDescent="0.35">
      <c r="A60" t="s">
        <v>319</v>
      </c>
      <c r="B60" t="s">
        <v>24</v>
      </c>
      <c r="C60" t="s">
        <v>22</v>
      </c>
      <c r="D60" t="s">
        <v>25</v>
      </c>
      <c r="E60" t="s">
        <v>143</v>
      </c>
      <c r="F60" t="s">
        <v>128</v>
      </c>
      <c r="G60" t="s">
        <v>211</v>
      </c>
      <c r="H60" t="s">
        <v>320</v>
      </c>
      <c r="I60" t="s">
        <v>321</v>
      </c>
      <c r="J60">
        <v>222</v>
      </c>
      <c r="K60">
        <v>209</v>
      </c>
      <c r="L60">
        <v>46398</v>
      </c>
      <c r="M60" t="s">
        <v>170</v>
      </c>
      <c r="N60" t="b">
        <v>1</v>
      </c>
      <c r="O60">
        <v>0</v>
      </c>
    </row>
    <row r="61" spans="1:15" x14ac:dyDescent="0.35">
      <c r="A61" t="s">
        <v>322</v>
      </c>
      <c r="B61" t="s">
        <v>19</v>
      </c>
      <c r="C61" t="s">
        <v>14</v>
      </c>
      <c r="D61" t="s">
        <v>20</v>
      </c>
      <c r="E61" t="s">
        <v>143</v>
      </c>
      <c r="F61" t="s">
        <v>129</v>
      </c>
      <c r="G61" t="s">
        <v>323</v>
      </c>
      <c r="H61" t="s">
        <v>324</v>
      </c>
      <c r="I61" t="s">
        <v>324</v>
      </c>
      <c r="J61">
        <v>288</v>
      </c>
      <c r="K61">
        <v>441.6</v>
      </c>
      <c r="L61">
        <v>127180.8</v>
      </c>
      <c r="M61" t="s">
        <v>195</v>
      </c>
      <c r="N61" t="b">
        <v>1</v>
      </c>
      <c r="O61">
        <v>0</v>
      </c>
    </row>
    <row r="62" spans="1:15" x14ac:dyDescent="0.35">
      <c r="A62" t="s">
        <v>325</v>
      </c>
      <c r="B62" t="s">
        <v>17</v>
      </c>
      <c r="C62" t="s">
        <v>14</v>
      </c>
      <c r="D62" t="s">
        <v>18</v>
      </c>
      <c r="E62" t="s">
        <v>152</v>
      </c>
      <c r="F62" t="s">
        <v>130</v>
      </c>
      <c r="G62" t="s">
        <v>326</v>
      </c>
      <c r="H62" t="s">
        <v>327</v>
      </c>
      <c r="I62" t="s">
        <v>244</v>
      </c>
      <c r="J62">
        <v>123</v>
      </c>
      <c r="K62">
        <v>513.6</v>
      </c>
      <c r="L62">
        <v>63172.800000000003</v>
      </c>
      <c r="M62" t="s">
        <v>170</v>
      </c>
      <c r="N62" t="b">
        <v>1</v>
      </c>
      <c r="O62">
        <v>0</v>
      </c>
    </row>
    <row r="63" spans="1:15" x14ac:dyDescent="0.35">
      <c r="A63" t="s">
        <v>328</v>
      </c>
      <c r="B63" t="s">
        <v>31</v>
      </c>
      <c r="C63" t="s">
        <v>32</v>
      </c>
      <c r="D63" t="s">
        <v>33</v>
      </c>
      <c r="E63" t="s">
        <v>143</v>
      </c>
      <c r="F63" t="s">
        <v>127</v>
      </c>
      <c r="G63" t="s">
        <v>329</v>
      </c>
      <c r="H63" t="s">
        <v>257</v>
      </c>
      <c r="I63" t="s">
        <v>215</v>
      </c>
      <c r="J63">
        <v>298</v>
      </c>
      <c r="K63">
        <v>816</v>
      </c>
      <c r="L63">
        <v>243168</v>
      </c>
      <c r="M63" t="s">
        <v>146</v>
      </c>
      <c r="N63" t="b">
        <v>1</v>
      </c>
      <c r="O63">
        <v>0</v>
      </c>
    </row>
    <row r="64" spans="1:15" x14ac:dyDescent="0.35">
      <c r="A64" t="s">
        <v>330</v>
      </c>
      <c r="B64" t="s">
        <v>39</v>
      </c>
      <c r="C64" t="s">
        <v>37</v>
      </c>
      <c r="D64" t="s">
        <v>40</v>
      </c>
      <c r="E64" t="s">
        <v>180</v>
      </c>
      <c r="F64" t="s">
        <v>127</v>
      </c>
      <c r="G64" t="s">
        <v>331</v>
      </c>
      <c r="H64" t="s">
        <v>332</v>
      </c>
      <c r="I64" t="s">
        <v>333</v>
      </c>
      <c r="J64">
        <v>78</v>
      </c>
      <c r="K64">
        <v>187.25</v>
      </c>
      <c r="L64">
        <v>14605.5</v>
      </c>
      <c r="M64" t="s">
        <v>146</v>
      </c>
      <c r="N64" t="b">
        <v>1</v>
      </c>
      <c r="O64">
        <v>0</v>
      </c>
    </row>
    <row r="65" spans="1:15" x14ac:dyDescent="0.35">
      <c r="A65" t="s">
        <v>334</v>
      </c>
      <c r="B65" t="s">
        <v>34</v>
      </c>
      <c r="C65" t="s">
        <v>32</v>
      </c>
      <c r="D65" t="s">
        <v>35</v>
      </c>
      <c r="E65" t="s">
        <v>143</v>
      </c>
      <c r="F65" t="s">
        <v>130</v>
      </c>
      <c r="G65" t="s">
        <v>335</v>
      </c>
      <c r="H65" t="s">
        <v>257</v>
      </c>
      <c r="I65" t="s">
        <v>336</v>
      </c>
      <c r="J65">
        <v>44</v>
      </c>
      <c r="K65">
        <v>824.5</v>
      </c>
      <c r="L65">
        <v>36278</v>
      </c>
      <c r="M65" t="s">
        <v>159</v>
      </c>
      <c r="N65" t="b">
        <v>0</v>
      </c>
      <c r="O65">
        <v>17</v>
      </c>
    </row>
    <row r="66" spans="1:15" x14ac:dyDescent="0.35">
      <c r="A66" t="s">
        <v>337</v>
      </c>
      <c r="B66" t="s">
        <v>54</v>
      </c>
      <c r="C66" t="s">
        <v>52</v>
      </c>
      <c r="D66" t="s">
        <v>55</v>
      </c>
      <c r="E66" t="s">
        <v>143</v>
      </c>
      <c r="F66" t="s">
        <v>127</v>
      </c>
      <c r="G66" t="s">
        <v>338</v>
      </c>
      <c r="H66" t="s">
        <v>339</v>
      </c>
      <c r="I66" t="s">
        <v>75</v>
      </c>
      <c r="J66">
        <v>310</v>
      </c>
      <c r="K66">
        <v>45.36</v>
      </c>
      <c r="L66">
        <v>14061.6</v>
      </c>
      <c r="M66" t="s">
        <v>159</v>
      </c>
      <c r="N66" t="b">
        <v>0</v>
      </c>
      <c r="O66">
        <v>15</v>
      </c>
    </row>
    <row r="67" spans="1:15" x14ac:dyDescent="0.35">
      <c r="A67" t="s">
        <v>340</v>
      </c>
      <c r="B67" t="s">
        <v>26</v>
      </c>
      <c r="C67" t="s">
        <v>27</v>
      </c>
      <c r="D67" t="s">
        <v>28</v>
      </c>
      <c r="E67" t="s">
        <v>165</v>
      </c>
      <c r="F67" t="s">
        <v>127</v>
      </c>
      <c r="G67" t="s">
        <v>341</v>
      </c>
      <c r="H67" t="s">
        <v>342</v>
      </c>
      <c r="I67" t="s">
        <v>343</v>
      </c>
      <c r="J67">
        <v>223</v>
      </c>
      <c r="K67">
        <v>99.75</v>
      </c>
      <c r="L67">
        <v>22244.25</v>
      </c>
      <c r="M67" t="s">
        <v>170</v>
      </c>
      <c r="N67" t="b">
        <v>1</v>
      </c>
      <c r="O67">
        <v>0</v>
      </c>
    </row>
    <row r="68" spans="1:15" x14ac:dyDescent="0.35">
      <c r="A68" t="s">
        <v>344</v>
      </c>
      <c r="B68" t="s">
        <v>24</v>
      </c>
      <c r="C68" t="s">
        <v>22</v>
      </c>
      <c r="D68" t="s">
        <v>25</v>
      </c>
      <c r="E68" t="s">
        <v>152</v>
      </c>
      <c r="F68" t="s">
        <v>130</v>
      </c>
      <c r="G68" t="s">
        <v>86</v>
      </c>
      <c r="H68" t="s">
        <v>94</v>
      </c>
      <c r="I68" t="s">
        <v>98</v>
      </c>
      <c r="J68">
        <v>85</v>
      </c>
      <c r="K68">
        <v>209</v>
      </c>
      <c r="L68">
        <v>17765</v>
      </c>
      <c r="M68" t="s">
        <v>159</v>
      </c>
      <c r="N68" t="b">
        <v>0</v>
      </c>
      <c r="O68">
        <v>28</v>
      </c>
    </row>
    <row r="69" spans="1:15" x14ac:dyDescent="0.35">
      <c r="A69" t="s">
        <v>345</v>
      </c>
      <c r="B69" t="s">
        <v>26</v>
      </c>
      <c r="C69" t="s">
        <v>27</v>
      </c>
      <c r="D69" t="s">
        <v>28</v>
      </c>
      <c r="E69" t="s">
        <v>165</v>
      </c>
      <c r="F69" t="s">
        <v>127</v>
      </c>
      <c r="G69" t="s">
        <v>346</v>
      </c>
      <c r="H69" t="s">
        <v>347</v>
      </c>
      <c r="I69" t="s">
        <v>348</v>
      </c>
      <c r="J69">
        <v>48</v>
      </c>
      <c r="K69">
        <v>99.75</v>
      </c>
      <c r="L69">
        <v>4788</v>
      </c>
      <c r="M69" t="s">
        <v>195</v>
      </c>
      <c r="N69" t="b">
        <v>1</v>
      </c>
      <c r="O69">
        <v>0</v>
      </c>
    </row>
    <row r="70" spans="1:15" x14ac:dyDescent="0.35">
      <c r="A70" t="s">
        <v>349</v>
      </c>
      <c r="B70" t="s">
        <v>36</v>
      </c>
      <c r="C70" t="s">
        <v>37</v>
      </c>
      <c r="D70" t="s">
        <v>38</v>
      </c>
      <c r="E70" t="s">
        <v>183</v>
      </c>
      <c r="F70" t="s">
        <v>127</v>
      </c>
      <c r="G70" t="s">
        <v>237</v>
      </c>
      <c r="H70" t="s">
        <v>350</v>
      </c>
      <c r="I70" t="s">
        <v>351</v>
      </c>
      <c r="J70">
        <v>179</v>
      </c>
      <c r="K70">
        <v>190.75</v>
      </c>
      <c r="L70">
        <v>34144.25</v>
      </c>
      <c r="M70" t="s">
        <v>159</v>
      </c>
      <c r="N70" t="b">
        <v>0</v>
      </c>
      <c r="O70">
        <v>28</v>
      </c>
    </row>
    <row r="71" spans="1:15" x14ac:dyDescent="0.35">
      <c r="A71" t="s">
        <v>352</v>
      </c>
      <c r="B71" t="s">
        <v>21</v>
      </c>
      <c r="C71" t="s">
        <v>22</v>
      </c>
      <c r="D71" t="s">
        <v>23</v>
      </c>
      <c r="E71" t="s">
        <v>183</v>
      </c>
      <c r="F71" t="s">
        <v>127</v>
      </c>
      <c r="G71" t="s">
        <v>95</v>
      </c>
      <c r="H71" t="s">
        <v>106</v>
      </c>
      <c r="I71" t="s">
        <v>353</v>
      </c>
      <c r="J71">
        <v>40</v>
      </c>
      <c r="K71">
        <v>200.2</v>
      </c>
      <c r="L71">
        <v>8008</v>
      </c>
      <c r="M71" t="s">
        <v>170</v>
      </c>
      <c r="N71" t="b">
        <v>1</v>
      </c>
      <c r="O71">
        <v>0</v>
      </c>
    </row>
    <row r="72" spans="1:15" x14ac:dyDescent="0.35">
      <c r="A72" t="s">
        <v>354</v>
      </c>
      <c r="B72" t="s">
        <v>24</v>
      </c>
      <c r="C72" t="s">
        <v>22</v>
      </c>
      <c r="D72" t="s">
        <v>25</v>
      </c>
      <c r="E72" t="s">
        <v>165</v>
      </c>
      <c r="F72" t="s">
        <v>128</v>
      </c>
      <c r="G72" t="s">
        <v>79</v>
      </c>
      <c r="H72" t="s">
        <v>87</v>
      </c>
      <c r="I72" t="s">
        <v>343</v>
      </c>
      <c r="J72">
        <v>304</v>
      </c>
      <c r="K72">
        <v>209</v>
      </c>
      <c r="L72">
        <v>63536</v>
      </c>
      <c r="M72" t="s">
        <v>159</v>
      </c>
      <c r="N72" t="b">
        <v>0</v>
      </c>
      <c r="O72">
        <v>19</v>
      </c>
    </row>
    <row r="73" spans="1:15" x14ac:dyDescent="0.35">
      <c r="A73" t="s">
        <v>355</v>
      </c>
      <c r="B73" t="s">
        <v>13</v>
      </c>
      <c r="C73" t="s">
        <v>14</v>
      </c>
      <c r="D73" t="s">
        <v>15</v>
      </c>
      <c r="E73" t="s">
        <v>180</v>
      </c>
      <c r="F73" t="s">
        <v>129</v>
      </c>
      <c r="G73" t="s">
        <v>209</v>
      </c>
      <c r="H73" t="s">
        <v>218</v>
      </c>
      <c r="I73" t="s">
        <v>248</v>
      </c>
      <c r="J73">
        <v>216</v>
      </c>
      <c r="K73">
        <v>446.4</v>
      </c>
      <c r="L73">
        <v>96422.399999999994</v>
      </c>
      <c r="M73" t="s">
        <v>146</v>
      </c>
      <c r="N73" t="b">
        <v>1</v>
      </c>
      <c r="O73">
        <v>0</v>
      </c>
    </row>
    <row r="74" spans="1:15" x14ac:dyDescent="0.35">
      <c r="A74" t="s">
        <v>356</v>
      </c>
      <c r="B74" t="s">
        <v>29</v>
      </c>
      <c r="C74" t="s">
        <v>27</v>
      </c>
      <c r="D74" t="s">
        <v>20</v>
      </c>
      <c r="E74" t="s">
        <v>143</v>
      </c>
      <c r="F74" t="s">
        <v>128</v>
      </c>
      <c r="G74" t="s">
        <v>66</v>
      </c>
      <c r="H74" t="s">
        <v>76</v>
      </c>
      <c r="I74" t="s">
        <v>357</v>
      </c>
      <c r="J74">
        <v>226</v>
      </c>
      <c r="K74">
        <v>90.25</v>
      </c>
      <c r="L74">
        <v>20396.5</v>
      </c>
      <c r="M74" t="s">
        <v>159</v>
      </c>
      <c r="N74" t="b">
        <v>0</v>
      </c>
      <c r="O74">
        <v>26</v>
      </c>
    </row>
    <row r="75" spans="1:15" x14ac:dyDescent="0.35">
      <c r="A75" t="s">
        <v>358</v>
      </c>
      <c r="B75" t="s">
        <v>30</v>
      </c>
      <c r="C75" t="s">
        <v>27</v>
      </c>
      <c r="D75" t="s">
        <v>15</v>
      </c>
      <c r="E75" t="s">
        <v>183</v>
      </c>
      <c r="F75" t="s">
        <v>127</v>
      </c>
      <c r="G75" t="s">
        <v>267</v>
      </c>
      <c r="H75" t="s">
        <v>200</v>
      </c>
      <c r="I75" t="s">
        <v>200</v>
      </c>
      <c r="J75">
        <v>133</v>
      </c>
      <c r="K75">
        <v>102.6</v>
      </c>
      <c r="L75">
        <v>13645.8</v>
      </c>
      <c r="M75" t="s">
        <v>170</v>
      </c>
      <c r="N75" t="b">
        <v>1</v>
      </c>
      <c r="O75">
        <v>0</v>
      </c>
    </row>
    <row r="76" spans="1:15" x14ac:dyDescent="0.35">
      <c r="A76" t="s">
        <v>359</v>
      </c>
      <c r="B76" t="s">
        <v>29</v>
      </c>
      <c r="C76" t="s">
        <v>27</v>
      </c>
      <c r="D76" t="s">
        <v>20</v>
      </c>
      <c r="E76" t="s">
        <v>180</v>
      </c>
      <c r="F76" t="s">
        <v>128</v>
      </c>
      <c r="G76" t="s">
        <v>360</v>
      </c>
      <c r="H76" t="s">
        <v>211</v>
      </c>
      <c r="I76" t="s">
        <v>361</v>
      </c>
      <c r="J76">
        <v>124</v>
      </c>
      <c r="K76">
        <v>90.25</v>
      </c>
      <c r="L76">
        <v>11191</v>
      </c>
      <c r="M76" t="s">
        <v>146</v>
      </c>
      <c r="N76" t="b">
        <v>1</v>
      </c>
      <c r="O76">
        <v>0</v>
      </c>
    </row>
    <row r="77" spans="1:15" x14ac:dyDescent="0.35">
      <c r="A77" t="s">
        <v>362</v>
      </c>
      <c r="B77" t="s">
        <v>36</v>
      </c>
      <c r="C77" t="s">
        <v>37</v>
      </c>
      <c r="D77" t="s">
        <v>38</v>
      </c>
      <c r="E77" t="s">
        <v>165</v>
      </c>
      <c r="F77" t="s">
        <v>128</v>
      </c>
      <c r="G77" t="s">
        <v>338</v>
      </c>
      <c r="H77" t="s">
        <v>363</v>
      </c>
      <c r="I77" t="s">
        <v>364</v>
      </c>
      <c r="J77">
        <v>261</v>
      </c>
      <c r="K77">
        <v>190.75</v>
      </c>
      <c r="L77">
        <v>49785.75</v>
      </c>
      <c r="M77" t="s">
        <v>195</v>
      </c>
      <c r="N77" t="b">
        <v>1</v>
      </c>
      <c r="O77">
        <v>0</v>
      </c>
    </row>
    <row r="78" spans="1:15" x14ac:dyDescent="0.35">
      <c r="A78" t="s">
        <v>365</v>
      </c>
      <c r="B78" t="s">
        <v>26</v>
      </c>
      <c r="C78" t="s">
        <v>27</v>
      </c>
      <c r="D78" t="s">
        <v>28</v>
      </c>
      <c r="E78" t="s">
        <v>183</v>
      </c>
      <c r="F78" t="s">
        <v>127</v>
      </c>
      <c r="G78" t="s">
        <v>366</v>
      </c>
      <c r="H78" t="s">
        <v>282</v>
      </c>
      <c r="I78" t="s">
        <v>347</v>
      </c>
      <c r="J78">
        <v>396</v>
      </c>
      <c r="K78">
        <v>99.75</v>
      </c>
      <c r="L78">
        <v>39501</v>
      </c>
      <c r="M78" t="s">
        <v>195</v>
      </c>
      <c r="N78" t="b">
        <v>1</v>
      </c>
      <c r="O78">
        <v>0</v>
      </c>
    </row>
    <row r="79" spans="1:15" x14ac:dyDescent="0.35">
      <c r="A79" t="s">
        <v>367</v>
      </c>
      <c r="B79" t="s">
        <v>21</v>
      </c>
      <c r="C79" t="s">
        <v>22</v>
      </c>
      <c r="D79" t="s">
        <v>23</v>
      </c>
      <c r="E79" t="s">
        <v>183</v>
      </c>
      <c r="F79" t="s">
        <v>130</v>
      </c>
      <c r="G79" t="s">
        <v>89</v>
      </c>
      <c r="H79" t="s">
        <v>100</v>
      </c>
      <c r="I79" t="s">
        <v>368</v>
      </c>
      <c r="J79">
        <v>145</v>
      </c>
      <c r="K79">
        <v>200.2</v>
      </c>
      <c r="L79">
        <v>29029</v>
      </c>
      <c r="M79" t="s">
        <v>159</v>
      </c>
      <c r="N79" t="b">
        <v>0</v>
      </c>
      <c r="O79">
        <v>27</v>
      </c>
    </row>
    <row r="80" spans="1:15" x14ac:dyDescent="0.35">
      <c r="A80" t="s">
        <v>369</v>
      </c>
      <c r="B80" t="s">
        <v>13</v>
      </c>
      <c r="C80" t="s">
        <v>14</v>
      </c>
      <c r="D80" t="s">
        <v>15</v>
      </c>
      <c r="E80" t="s">
        <v>183</v>
      </c>
      <c r="F80" t="s">
        <v>127</v>
      </c>
      <c r="G80" t="s">
        <v>68</v>
      </c>
      <c r="H80" t="s">
        <v>79</v>
      </c>
      <c r="I80" t="s">
        <v>79</v>
      </c>
      <c r="J80">
        <v>273</v>
      </c>
      <c r="K80">
        <v>446.4</v>
      </c>
      <c r="L80">
        <v>121867.2</v>
      </c>
      <c r="M80" t="s">
        <v>170</v>
      </c>
      <c r="N80" t="b">
        <v>1</v>
      </c>
      <c r="O80">
        <v>0</v>
      </c>
    </row>
    <row r="81" spans="1:15" x14ac:dyDescent="0.35">
      <c r="A81" t="s">
        <v>370</v>
      </c>
      <c r="B81" t="s">
        <v>39</v>
      </c>
      <c r="C81" t="s">
        <v>37</v>
      </c>
      <c r="D81" t="s">
        <v>40</v>
      </c>
      <c r="E81" t="s">
        <v>165</v>
      </c>
      <c r="F81" t="s">
        <v>129</v>
      </c>
      <c r="G81" t="s">
        <v>371</v>
      </c>
      <c r="H81" t="s">
        <v>315</v>
      </c>
      <c r="I81" t="s">
        <v>321</v>
      </c>
      <c r="J81">
        <v>314</v>
      </c>
      <c r="K81">
        <v>187.25</v>
      </c>
      <c r="L81">
        <v>58796.5</v>
      </c>
      <c r="M81" t="s">
        <v>195</v>
      </c>
      <c r="N81" t="b">
        <v>1</v>
      </c>
      <c r="O81">
        <v>0</v>
      </c>
    </row>
    <row r="82" spans="1:15" x14ac:dyDescent="0.35">
      <c r="A82" t="s">
        <v>372</v>
      </c>
      <c r="B82" t="s">
        <v>30</v>
      </c>
      <c r="C82" t="s">
        <v>27</v>
      </c>
      <c r="D82" t="s">
        <v>15</v>
      </c>
      <c r="E82" t="s">
        <v>183</v>
      </c>
      <c r="F82" t="s">
        <v>129</v>
      </c>
      <c r="G82" t="s">
        <v>315</v>
      </c>
      <c r="H82" t="s">
        <v>373</v>
      </c>
      <c r="I82" t="s">
        <v>350</v>
      </c>
      <c r="J82">
        <v>151</v>
      </c>
      <c r="K82">
        <v>102.6</v>
      </c>
      <c r="L82">
        <v>15492.6</v>
      </c>
      <c r="M82" t="s">
        <v>159</v>
      </c>
      <c r="N82" t="b">
        <v>0</v>
      </c>
      <c r="O82">
        <v>17</v>
      </c>
    </row>
    <row r="83" spans="1:15" x14ac:dyDescent="0.35">
      <c r="A83" t="s">
        <v>374</v>
      </c>
      <c r="B83" t="s">
        <v>30</v>
      </c>
      <c r="C83" t="s">
        <v>27</v>
      </c>
      <c r="D83" t="s">
        <v>15</v>
      </c>
      <c r="E83" t="s">
        <v>152</v>
      </c>
      <c r="F83" t="s">
        <v>128</v>
      </c>
      <c r="G83" t="s">
        <v>375</v>
      </c>
      <c r="H83" t="s">
        <v>376</v>
      </c>
      <c r="I83" t="s">
        <v>377</v>
      </c>
      <c r="J83">
        <v>372</v>
      </c>
      <c r="K83">
        <v>102.6</v>
      </c>
      <c r="L83">
        <v>38167.199999999997</v>
      </c>
      <c r="M83" t="s">
        <v>195</v>
      </c>
      <c r="N83" t="b">
        <v>1</v>
      </c>
      <c r="O83">
        <v>0</v>
      </c>
    </row>
    <row r="84" spans="1:15" x14ac:dyDescent="0.35">
      <c r="A84" t="s">
        <v>378</v>
      </c>
      <c r="B84" t="s">
        <v>17</v>
      </c>
      <c r="C84" t="s">
        <v>14</v>
      </c>
      <c r="D84" t="s">
        <v>18</v>
      </c>
      <c r="E84" t="s">
        <v>152</v>
      </c>
      <c r="F84" t="s">
        <v>129</v>
      </c>
      <c r="G84" t="s">
        <v>379</v>
      </c>
      <c r="H84" t="s">
        <v>353</v>
      </c>
      <c r="I84" t="s">
        <v>259</v>
      </c>
      <c r="J84">
        <v>274</v>
      </c>
      <c r="K84">
        <v>513.6</v>
      </c>
      <c r="L84">
        <v>140726.39999999999</v>
      </c>
      <c r="M84" t="s">
        <v>195</v>
      </c>
      <c r="N84" t="b">
        <v>1</v>
      </c>
      <c r="O84">
        <v>0</v>
      </c>
    </row>
    <row r="85" spans="1:15" x14ac:dyDescent="0.35">
      <c r="A85" t="s">
        <v>380</v>
      </c>
      <c r="B85" t="s">
        <v>41</v>
      </c>
      <c r="C85" t="s">
        <v>42</v>
      </c>
      <c r="D85" t="s">
        <v>23</v>
      </c>
      <c r="E85" t="s">
        <v>180</v>
      </c>
      <c r="F85" t="s">
        <v>127</v>
      </c>
      <c r="G85" t="s">
        <v>381</v>
      </c>
      <c r="H85" t="s">
        <v>382</v>
      </c>
      <c r="I85" t="s">
        <v>211</v>
      </c>
      <c r="J85">
        <v>300</v>
      </c>
      <c r="K85">
        <v>397.7</v>
      </c>
      <c r="L85">
        <v>119310</v>
      </c>
      <c r="M85" t="s">
        <v>146</v>
      </c>
      <c r="N85" t="b">
        <v>1</v>
      </c>
      <c r="O85">
        <v>0</v>
      </c>
    </row>
    <row r="86" spans="1:15" x14ac:dyDescent="0.35">
      <c r="A86" t="s">
        <v>383</v>
      </c>
      <c r="B86" t="s">
        <v>21</v>
      </c>
      <c r="C86" t="s">
        <v>22</v>
      </c>
      <c r="D86" t="s">
        <v>23</v>
      </c>
      <c r="E86" t="s">
        <v>143</v>
      </c>
      <c r="F86" t="s">
        <v>129</v>
      </c>
      <c r="G86" t="s">
        <v>384</v>
      </c>
      <c r="H86" t="s">
        <v>385</v>
      </c>
      <c r="I86" t="s">
        <v>386</v>
      </c>
      <c r="J86">
        <v>348</v>
      </c>
      <c r="K86">
        <v>200.2</v>
      </c>
      <c r="L86">
        <v>69669.600000000006</v>
      </c>
      <c r="M86" t="s">
        <v>146</v>
      </c>
      <c r="N86" t="b">
        <v>1</v>
      </c>
      <c r="O86">
        <v>0</v>
      </c>
    </row>
    <row r="87" spans="1:15" x14ac:dyDescent="0.35">
      <c r="A87" t="s">
        <v>387</v>
      </c>
      <c r="B87" t="s">
        <v>13</v>
      </c>
      <c r="C87" t="s">
        <v>14</v>
      </c>
      <c r="D87" t="s">
        <v>15</v>
      </c>
      <c r="E87" t="s">
        <v>165</v>
      </c>
      <c r="F87" t="s">
        <v>130</v>
      </c>
      <c r="G87" t="s">
        <v>388</v>
      </c>
      <c r="H87" t="s">
        <v>280</v>
      </c>
      <c r="I87" t="s">
        <v>292</v>
      </c>
      <c r="J87">
        <v>158</v>
      </c>
      <c r="K87">
        <v>446.4</v>
      </c>
      <c r="L87">
        <v>70531.199999999997</v>
      </c>
      <c r="M87" t="s">
        <v>195</v>
      </c>
      <c r="N87" t="b">
        <v>1</v>
      </c>
      <c r="O87">
        <v>0</v>
      </c>
    </row>
    <row r="88" spans="1:15" x14ac:dyDescent="0.35">
      <c r="A88" t="s">
        <v>389</v>
      </c>
      <c r="B88" t="s">
        <v>44</v>
      </c>
      <c r="C88" t="s">
        <v>45</v>
      </c>
      <c r="D88" t="s">
        <v>46</v>
      </c>
      <c r="E88" t="s">
        <v>180</v>
      </c>
      <c r="F88" t="s">
        <v>130</v>
      </c>
      <c r="G88" t="s">
        <v>343</v>
      </c>
      <c r="H88" t="s">
        <v>390</v>
      </c>
      <c r="I88" t="s">
        <v>246</v>
      </c>
      <c r="J88">
        <v>400</v>
      </c>
      <c r="K88">
        <v>31.92</v>
      </c>
      <c r="L88">
        <v>12768</v>
      </c>
      <c r="M88" t="s">
        <v>170</v>
      </c>
      <c r="N88" t="b">
        <v>1</v>
      </c>
      <c r="O88">
        <v>0</v>
      </c>
    </row>
    <row r="89" spans="1:15" x14ac:dyDescent="0.35">
      <c r="A89" t="s">
        <v>391</v>
      </c>
      <c r="B89" t="s">
        <v>44</v>
      </c>
      <c r="C89" t="s">
        <v>45</v>
      </c>
      <c r="D89" t="s">
        <v>46</v>
      </c>
      <c r="E89" t="s">
        <v>152</v>
      </c>
      <c r="F89" t="s">
        <v>128</v>
      </c>
      <c r="G89" t="s">
        <v>216</v>
      </c>
      <c r="H89" t="s">
        <v>301</v>
      </c>
      <c r="I89" t="s">
        <v>392</v>
      </c>
      <c r="J89">
        <v>211</v>
      </c>
      <c r="K89">
        <v>31.92</v>
      </c>
      <c r="L89">
        <v>6735.12</v>
      </c>
      <c r="M89" t="s">
        <v>195</v>
      </c>
      <c r="N89" t="b">
        <v>1</v>
      </c>
      <c r="O89">
        <v>0</v>
      </c>
    </row>
    <row r="90" spans="1:15" x14ac:dyDescent="0.35">
      <c r="A90" t="s">
        <v>393</v>
      </c>
      <c r="B90" t="s">
        <v>21</v>
      </c>
      <c r="C90" t="s">
        <v>22</v>
      </c>
      <c r="D90" t="s">
        <v>23</v>
      </c>
      <c r="E90" t="s">
        <v>180</v>
      </c>
      <c r="F90" t="s">
        <v>127</v>
      </c>
      <c r="G90" t="s">
        <v>75</v>
      </c>
      <c r="H90" t="s">
        <v>86</v>
      </c>
      <c r="I90" t="s">
        <v>178</v>
      </c>
      <c r="J90">
        <v>253</v>
      </c>
      <c r="K90">
        <v>200.2</v>
      </c>
      <c r="L90">
        <v>50650.6</v>
      </c>
      <c r="M90" t="s">
        <v>146</v>
      </c>
      <c r="N90" t="b">
        <v>1</v>
      </c>
      <c r="O90">
        <v>0</v>
      </c>
    </row>
    <row r="91" spans="1:15" x14ac:dyDescent="0.35">
      <c r="A91" t="s">
        <v>394</v>
      </c>
      <c r="B91" t="s">
        <v>36</v>
      </c>
      <c r="C91" t="s">
        <v>37</v>
      </c>
      <c r="D91" t="s">
        <v>38</v>
      </c>
      <c r="E91" t="s">
        <v>165</v>
      </c>
      <c r="F91" t="s">
        <v>128</v>
      </c>
      <c r="G91" t="s">
        <v>318</v>
      </c>
      <c r="H91" t="s">
        <v>395</v>
      </c>
      <c r="I91" t="s">
        <v>396</v>
      </c>
      <c r="J91">
        <v>399</v>
      </c>
      <c r="K91">
        <v>190.75</v>
      </c>
      <c r="L91">
        <v>76109.25</v>
      </c>
      <c r="M91" t="s">
        <v>170</v>
      </c>
      <c r="N91" t="b">
        <v>1</v>
      </c>
      <c r="O91">
        <v>0</v>
      </c>
    </row>
    <row r="92" spans="1:15" x14ac:dyDescent="0.35">
      <c r="A92" t="s">
        <v>397</v>
      </c>
      <c r="B92" t="s">
        <v>21</v>
      </c>
      <c r="C92" t="s">
        <v>22</v>
      </c>
      <c r="D92" t="s">
        <v>23</v>
      </c>
      <c r="E92" t="s">
        <v>143</v>
      </c>
      <c r="F92" t="s">
        <v>129</v>
      </c>
      <c r="G92" t="s">
        <v>79</v>
      </c>
      <c r="H92" t="s">
        <v>90</v>
      </c>
      <c r="I92" t="s">
        <v>343</v>
      </c>
      <c r="J92">
        <v>57</v>
      </c>
      <c r="K92">
        <v>200.2</v>
      </c>
      <c r="L92">
        <v>11411.4</v>
      </c>
      <c r="M92" t="s">
        <v>170</v>
      </c>
      <c r="N92" t="b">
        <v>1</v>
      </c>
      <c r="O92">
        <v>0</v>
      </c>
    </row>
    <row r="93" spans="1:15" x14ac:dyDescent="0.35">
      <c r="A93" t="s">
        <v>398</v>
      </c>
      <c r="B93" t="s">
        <v>44</v>
      </c>
      <c r="C93" t="s">
        <v>45</v>
      </c>
      <c r="D93" t="s">
        <v>46</v>
      </c>
      <c r="E93" t="s">
        <v>180</v>
      </c>
      <c r="F93" t="s">
        <v>129</v>
      </c>
      <c r="G93" t="s">
        <v>66</v>
      </c>
      <c r="H93" t="s">
        <v>71</v>
      </c>
      <c r="I93" t="s">
        <v>176</v>
      </c>
      <c r="J93">
        <v>209</v>
      </c>
      <c r="K93">
        <v>31.92</v>
      </c>
      <c r="L93">
        <v>6671.28</v>
      </c>
      <c r="M93" t="s">
        <v>170</v>
      </c>
      <c r="N93" t="b">
        <v>1</v>
      </c>
      <c r="O93">
        <v>0</v>
      </c>
    </row>
    <row r="94" spans="1:15" x14ac:dyDescent="0.35">
      <c r="A94" t="s">
        <v>399</v>
      </c>
      <c r="B94" t="s">
        <v>30</v>
      </c>
      <c r="C94" t="s">
        <v>27</v>
      </c>
      <c r="D94" t="s">
        <v>15</v>
      </c>
      <c r="E94" t="s">
        <v>152</v>
      </c>
      <c r="F94" t="s">
        <v>130</v>
      </c>
      <c r="G94" t="s">
        <v>239</v>
      </c>
      <c r="H94" t="s">
        <v>400</v>
      </c>
      <c r="I94" t="s">
        <v>401</v>
      </c>
      <c r="J94">
        <v>190</v>
      </c>
      <c r="K94">
        <v>102.6</v>
      </c>
      <c r="L94">
        <v>19494</v>
      </c>
      <c r="M94" t="s">
        <v>159</v>
      </c>
      <c r="N94" t="b">
        <v>0</v>
      </c>
      <c r="O94">
        <v>27</v>
      </c>
    </row>
    <row r="95" spans="1:15" x14ac:dyDescent="0.35">
      <c r="A95" t="s">
        <v>402</v>
      </c>
      <c r="B95" t="s">
        <v>30</v>
      </c>
      <c r="C95" t="s">
        <v>27</v>
      </c>
      <c r="D95" t="s">
        <v>15</v>
      </c>
      <c r="E95" t="s">
        <v>165</v>
      </c>
      <c r="F95" t="s">
        <v>127</v>
      </c>
      <c r="G95" t="s">
        <v>83</v>
      </c>
      <c r="H95" t="s">
        <v>94</v>
      </c>
      <c r="I95" t="s">
        <v>321</v>
      </c>
      <c r="J95">
        <v>321</v>
      </c>
      <c r="K95">
        <v>102.6</v>
      </c>
      <c r="L95">
        <v>32934.6</v>
      </c>
      <c r="M95" t="s">
        <v>195</v>
      </c>
      <c r="N95" t="b">
        <v>1</v>
      </c>
      <c r="O95">
        <v>0</v>
      </c>
    </row>
    <row r="96" spans="1:15" x14ac:dyDescent="0.35">
      <c r="A96" t="s">
        <v>403</v>
      </c>
      <c r="B96" t="s">
        <v>26</v>
      </c>
      <c r="C96" t="s">
        <v>27</v>
      </c>
      <c r="D96" t="s">
        <v>28</v>
      </c>
      <c r="E96" t="s">
        <v>152</v>
      </c>
      <c r="F96" t="s">
        <v>128</v>
      </c>
      <c r="G96" t="s">
        <v>215</v>
      </c>
      <c r="H96" t="s">
        <v>296</v>
      </c>
      <c r="I96" t="s">
        <v>181</v>
      </c>
      <c r="J96">
        <v>64</v>
      </c>
      <c r="K96">
        <v>99.75</v>
      </c>
      <c r="L96">
        <v>6384</v>
      </c>
      <c r="M96" t="s">
        <v>195</v>
      </c>
      <c r="N96" t="b">
        <v>1</v>
      </c>
      <c r="O96">
        <v>0</v>
      </c>
    </row>
    <row r="97" spans="1:15" x14ac:dyDescent="0.35">
      <c r="A97" t="s">
        <v>404</v>
      </c>
      <c r="B97" t="s">
        <v>24</v>
      </c>
      <c r="C97" t="s">
        <v>22</v>
      </c>
      <c r="D97" t="s">
        <v>25</v>
      </c>
      <c r="E97" t="s">
        <v>152</v>
      </c>
      <c r="F97" t="s">
        <v>129</v>
      </c>
      <c r="G97" t="s">
        <v>230</v>
      </c>
      <c r="H97" t="s">
        <v>405</v>
      </c>
      <c r="I97" t="s">
        <v>405</v>
      </c>
      <c r="J97">
        <v>201</v>
      </c>
      <c r="K97">
        <v>209</v>
      </c>
      <c r="L97">
        <v>42009</v>
      </c>
      <c r="M97" t="s">
        <v>170</v>
      </c>
      <c r="N97" t="b">
        <v>1</v>
      </c>
      <c r="O97">
        <v>0</v>
      </c>
    </row>
    <row r="98" spans="1:15" x14ac:dyDescent="0.35">
      <c r="A98" t="s">
        <v>406</v>
      </c>
      <c r="B98" t="s">
        <v>36</v>
      </c>
      <c r="C98" t="s">
        <v>37</v>
      </c>
      <c r="D98" t="s">
        <v>38</v>
      </c>
      <c r="E98" t="s">
        <v>165</v>
      </c>
      <c r="F98" t="s">
        <v>130</v>
      </c>
      <c r="G98" t="s">
        <v>407</v>
      </c>
      <c r="H98" t="s">
        <v>176</v>
      </c>
      <c r="I98" t="s">
        <v>71</v>
      </c>
      <c r="J98">
        <v>250</v>
      </c>
      <c r="K98">
        <v>190.75</v>
      </c>
      <c r="L98">
        <v>47687.5</v>
      </c>
      <c r="M98" t="s">
        <v>146</v>
      </c>
      <c r="N98" t="b">
        <v>1</v>
      </c>
      <c r="O98">
        <v>0</v>
      </c>
    </row>
    <row r="99" spans="1:15" x14ac:dyDescent="0.35">
      <c r="A99" t="s">
        <v>408</v>
      </c>
      <c r="B99" t="s">
        <v>31</v>
      </c>
      <c r="C99" t="s">
        <v>32</v>
      </c>
      <c r="D99" t="s">
        <v>33</v>
      </c>
      <c r="E99" t="s">
        <v>143</v>
      </c>
      <c r="F99" t="s">
        <v>128</v>
      </c>
      <c r="G99" t="s">
        <v>296</v>
      </c>
      <c r="H99" t="s">
        <v>409</v>
      </c>
      <c r="I99" t="s">
        <v>410</v>
      </c>
      <c r="J99">
        <v>101</v>
      </c>
      <c r="K99">
        <v>816</v>
      </c>
      <c r="L99">
        <v>82416</v>
      </c>
      <c r="M99" t="s">
        <v>146</v>
      </c>
      <c r="N99" t="b">
        <v>1</v>
      </c>
      <c r="O99">
        <v>0</v>
      </c>
    </row>
    <row r="100" spans="1:15" x14ac:dyDescent="0.35">
      <c r="A100" t="s">
        <v>411</v>
      </c>
      <c r="B100" t="s">
        <v>39</v>
      </c>
      <c r="C100" t="s">
        <v>37</v>
      </c>
      <c r="D100" t="s">
        <v>40</v>
      </c>
      <c r="E100" t="s">
        <v>183</v>
      </c>
      <c r="F100" t="s">
        <v>128</v>
      </c>
      <c r="G100" t="s">
        <v>412</v>
      </c>
      <c r="H100" t="s">
        <v>413</v>
      </c>
      <c r="I100" t="s">
        <v>414</v>
      </c>
      <c r="J100">
        <v>194</v>
      </c>
      <c r="K100">
        <v>187.25</v>
      </c>
      <c r="L100">
        <v>36326.5</v>
      </c>
      <c r="M100" t="s">
        <v>195</v>
      </c>
      <c r="N100" t="b">
        <v>1</v>
      </c>
      <c r="O100">
        <v>0</v>
      </c>
    </row>
    <row r="101" spans="1:15" x14ac:dyDescent="0.35">
      <c r="A101" t="s">
        <v>415</v>
      </c>
      <c r="B101" t="s">
        <v>31</v>
      </c>
      <c r="C101" t="s">
        <v>32</v>
      </c>
      <c r="D101" t="s">
        <v>33</v>
      </c>
      <c r="E101" t="s">
        <v>152</v>
      </c>
      <c r="F101" t="s">
        <v>127</v>
      </c>
      <c r="G101" t="s">
        <v>98</v>
      </c>
      <c r="H101" t="s">
        <v>113</v>
      </c>
      <c r="I101" t="s">
        <v>416</v>
      </c>
      <c r="J101">
        <v>107</v>
      </c>
      <c r="K101">
        <v>816</v>
      </c>
      <c r="L101">
        <v>87312</v>
      </c>
      <c r="M101" t="s">
        <v>195</v>
      </c>
      <c r="N101" t="b">
        <v>1</v>
      </c>
      <c r="O101">
        <v>0</v>
      </c>
    </row>
    <row r="102" spans="1:15" x14ac:dyDescent="0.35">
      <c r="A102" t="s">
        <v>417</v>
      </c>
      <c r="B102" t="s">
        <v>44</v>
      </c>
      <c r="C102" t="s">
        <v>45</v>
      </c>
      <c r="D102" t="s">
        <v>46</v>
      </c>
      <c r="E102" t="s">
        <v>143</v>
      </c>
      <c r="F102" t="s">
        <v>130</v>
      </c>
      <c r="G102" t="s">
        <v>414</v>
      </c>
      <c r="H102" t="s">
        <v>418</v>
      </c>
      <c r="I102" t="s">
        <v>200</v>
      </c>
      <c r="J102">
        <v>328</v>
      </c>
      <c r="K102">
        <v>31.92</v>
      </c>
      <c r="L102">
        <v>10469.76</v>
      </c>
      <c r="M102" t="s">
        <v>159</v>
      </c>
      <c r="N102" t="b">
        <v>0</v>
      </c>
      <c r="O102">
        <v>25</v>
      </c>
    </row>
    <row r="103" spans="1:15" x14ac:dyDescent="0.35">
      <c r="A103" t="s">
        <v>419</v>
      </c>
      <c r="B103" t="s">
        <v>49</v>
      </c>
      <c r="C103" t="s">
        <v>50</v>
      </c>
      <c r="D103" t="s">
        <v>33</v>
      </c>
      <c r="E103" t="s">
        <v>180</v>
      </c>
      <c r="F103" t="s">
        <v>128</v>
      </c>
      <c r="G103" t="s">
        <v>263</v>
      </c>
      <c r="H103" t="s">
        <v>420</v>
      </c>
      <c r="I103" t="s">
        <v>421</v>
      </c>
      <c r="J103">
        <v>100</v>
      </c>
      <c r="K103">
        <v>59.8</v>
      </c>
      <c r="L103">
        <v>5980</v>
      </c>
      <c r="M103" t="s">
        <v>159</v>
      </c>
      <c r="N103" t="b">
        <v>0</v>
      </c>
      <c r="O103">
        <v>25</v>
      </c>
    </row>
    <row r="104" spans="1:15" x14ac:dyDescent="0.35">
      <c r="A104" t="s">
        <v>422</v>
      </c>
      <c r="B104" t="s">
        <v>30</v>
      </c>
      <c r="C104" t="s">
        <v>27</v>
      </c>
      <c r="D104" t="s">
        <v>15</v>
      </c>
      <c r="E104" t="s">
        <v>180</v>
      </c>
      <c r="F104" t="s">
        <v>127</v>
      </c>
      <c r="G104" t="s">
        <v>423</v>
      </c>
      <c r="H104" t="s">
        <v>424</v>
      </c>
      <c r="I104" t="s">
        <v>287</v>
      </c>
      <c r="J104">
        <v>232</v>
      </c>
      <c r="K104">
        <v>102.6</v>
      </c>
      <c r="L104">
        <v>23803.200000000001</v>
      </c>
      <c r="M104" t="s">
        <v>195</v>
      </c>
      <c r="N104" t="b">
        <v>1</v>
      </c>
      <c r="O104">
        <v>0</v>
      </c>
    </row>
    <row r="105" spans="1:15" x14ac:dyDescent="0.35">
      <c r="A105" t="s">
        <v>425</v>
      </c>
      <c r="B105" t="s">
        <v>36</v>
      </c>
      <c r="C105" t="s">
        <v>37</v>
      </c>
      <c r="D105" t="s">
        <v>38</v>
      </c>
      <c r="E105" t="s">
        <v>183</v>
      </c>
      <c r="F105" t="s">
        <v>127</v>
      </c>
      <c r="G105" t="s">
        <v>426</v>
      </c>
      <c r="H105" t="s">
        <v>427</v>
      </c>
      <c r="I105" t="s">
        <v>428</v>
      </c>
      <c r="J105">
        <v>266</v>
      </c>
      <c r="K105">
        <v>190.75</v>
      </c>
      <c r="L105">
        <v>50739.5</v>
      </c>
      <c r="M105" t="s">
        <v>170</v>
      </c>
      <c r="N105" t="b">
        <v>1</v>
      </c>
      <c r="O105">
        <v>0</v>
      </c>
    </row>
    <row r="106" spans="1:15" x14ac:dyDescent="0.35">
      <c r="A106" t="s">
        <v>429</v>
      </c>
      <c r="B106" t="s">
        <v>30</v>
      </c>
      <c r="C106" t="s">
        <v>27</v>
      </c>
      <c r="D106" t="s">
        <v>15</v>
      </c>
      <c r="E106" t="s">
        <v>180</v>
      </c>
      <c r="F106" t="s">
        <v>128</v>
      </c>
      <c r="G106" t="s">
        <v>93</v>
      </c>
      <c r="H106" t="s">
        <v>104</v>
      </c>
      <c r="I106" t="s">
        <v>301</v>
      </c>
      <c r="J106">
        <v>118</v>
      </c>
      <c r="K106">
        <v>102.6</v>
      </c>
      <c r="L106">
        <v>12106.8</v>
      </c>
      <c r="M106" t="s">
        <v>195</v>
      </c>
      <c r="N106" t="b">
        <v>1</v>
      </c>
      <c r="O106">
        <v>0</v>
      </c>
    </row>
    <row r="107" spans="1:15" x14ac:dyDescent="0.35">
      <c r="A107" t="s">
        <v>430</v>
      </c>
      <c r="B107" t="s">
        <v>44</v>
      </c>
      <c r="C107" t="s">
        <v>45</v>
      </c>
      <c r="D107" t="s">
        <v>46</v>
      </c>
      <c r="E107" t="s">
        <v>180</v>
      </c>
      <c r="F107" t="s">
        <v>129</v>
      </c>
      <c r="G107" t="s">
        <v>88</v>
      </c>
      <c r="H107" t="s">
        <v>93</v>
      </c>
      <c r="I107" t="s">
        <v>431</v>
      </c>
      <c r="J107">
        <v>327</v>
      </c>
      <c r="K107">
        <v>31.92</v>
      </c>
      <c r="L107">
        <v>10437.84</v>
      </c>
      <c r="M107" t="s">
        <v>146</v>
      </c>
      <c r="N107" t="b">
        <v>1</v>
      </c>
      <c r="O107">
        <v>0</v>
      </c>
    </row>
    <row r="108" spans="1:15" x14ac:dyDescent="0.35">
      <c r="A108" t="s">
        <v>432</v>
      </c>
      <c r="B108" t="s">
        <v>29</v>
      </c>
      <c r="C108" t="s">
        <v>27</v>
      </c>
      <c r="D108" t="s">
        <v>20</v>
      </c>
      <c r="E108" t="s">
        <v>152</v>
      </c>
      <c r="F108" t="s">
        <v>128</v>
      </c>
      <c r="G108" t="s">
        <v>433</v>
      </c>
      <c r="H108" t="s">
        <v>434</v>
      </c>
      <c r="I108" t="s">
        <v>312</v>
      </c>
      <c r="J108">
        <v>128</v>
      </c>
      <c r="K108">
        <v>90.25</v>
      </c>
      <c r="L108">
        <v>11552</v>
      </c>
      <c r="M108" t="s">
        <v>159</v>
      </c>
      <c r="N108" t="b">
        <v>0</v>
      </c>
      <c r="O108">
        <v>7</v>
      </c>
    </row>
    <row r="109" spans="1:15" x14ac:dyDescent="0.35">
      <c r="A109" t="s">
        <v>435</v>
      </c>
      <c r="B109" t="s">
        <v>26</v>
      </c>
      <c r="C109" t="s">
        <v>27</v>
      </c>
      <c r="D109" t="s">
        <v>28</v>
      </c>
      <c r="E109" t="s">
        <v>180</v>
      </c>
      <c r="F109" t="s">
        <v>130</v>
      </c>
      <c r="G109" t="s">
        <v>70</v>
      </c>
      <c r="H109" t="s">
        <v>80</v>
      </c>
      <c r="I109" t="s">
        <v>436</v>
      </c>
      <c r="J109">
        <v>332</v>
      </c>
      <c r="K109">
        <v>99.75</v>
      </c>
      <c r="L109">
        <v>33117</v>
      </c>
      <c r="M109" t="s">
        <v>159</v>
      </c>
      <c r="N109" t="b">
        <v>0</v>
      </c>
      <c r="O109">
        <v>26</v>
      </c>
    </row>
    <row r="110" spans="1:15" x14ac:dyDescent="0.35">
      <c r="A110" t="s">
        <v>437</v>
      </c>
      <c r="B110" t="s">
        <v>47</v>
      </c>
      <c r="C110" t="s">
        <v>45</v>
      </c>
      <c r="D110" t="s">
        <v>48</v>
      </c>
      <c r="E110" t="s">
        <v>165</v>
      </c>
      <c r="F110" t="s">
        <v>127</v>
      </c>
      <c r="G110" t="s">
        <v>237</v>
      </c>
      <c r="H110" t="s">
        <v>150</v>
      </c>
      <c r="I110" t="s">
        <v>438</v>
      </c>
      <c r="J110">
        <v>271</v>
      </c>
      <c r="K110">
        <v>26.04</v>
      </c>
      <c r="L110">
        <v>7056.84</v>
      </c>
      <c r="M110" t="s">
        <v>195</v>
      </c>
      <c r="N110" t="b">
        <v>1</v>
      </c>
      <c r="O110">
        <v>0</v>
      </c>
    </row>
    <row r="111" spans="1:15" x14ac:dyDescent="0.35">
      <c r="A111" t="s">
        <v>439</v>
      </c>
      <c r="B111" t="s">
        <v>51</v>
      </c>
      <c r="C111" t="s">
        <v>52</v>
      </c>
      <c r="D111" t="s">
        <v>53</v>
      </c>
      <c r="E111" t="s">
        <v>165</v>
      </c>
      <c r="F111" t="s">
        <v>128</v>
      </c>
      <c r="G111" t="s">
        <v>440</v>
      </c>
      <c r="H111" t="s">
        <v>264</v>
      </c>
      <c r="I111" t="s">
        <v>441</v>
      </c>
      <c r="J111">
        <v>357</v>
      </c>
      <c r="K111">
        <v>44.1</v>
      </c>
      <c r="L111">
        <v>15743.7</v>
      </c>
      <c r="M111" t="s">
        <v>170</v>
      </c>
      <c r="N111" t="b">
        <v>1</v>
      </c>
      <c r="O111">
        <v>0</v>
      </c>
    </row>
    <row r="112" spans="1:15" x14ac:dyDescent="0.35">
      <c r="A112" t="s">
        <v>442</v>
      </c>
      <c r="B112" t="s">
        <v>44</v>
      </c>
      <c r="C112" t="s">
        <v>45</v>
      </c>
      <c r="D112" t="s">
        <v>46</v>
      </c>
      <c r="E112" t="s">
        <v>183</v>
      </c>
      <c r="F112" t="s">
        <v>130</v>
      </c>
      <c r="G112" t="s">
        <v>326</v>
      </c>
      <c r="H112" t="s">
        <v>443</v>
      </c>
      <c r="I112" t="s">
        <v>444</v>
      </c>
      <c r="J112">
        <v>142</v>
      </c>
      <c r="K112">
        <v>31.92</v>
      </c>
      <c r="L112">
        <v>4532.6400000000003</v>
      </c>
      <c r="M112" t="s">
        <v>170</v>
      </c>
      <c r="N112" t="b">
        <v>1</v>
      </c>
      <c r="O112">
        <v>0</v>
      </c>
    </row>
    <row r="113" spans="1:15" x14ac:dyDescent="0.35">
      <c r="A113" t="s">
        <v>445</v>
      </c>
      <c r="B113" t="s">
        <v>26</v>
      </c>
      <c r="C113" t="s">
        <v>27</v>
      </c>
      <c r="D113" t="s">
        <v>28</v>
      </c>
      <c r="E113" t="s">
        <v>183</v>
      </c>
      <c r="F113" t="s">
        <v>130</v>
      </c>
      <c r="G113" t="s">
        <v>105</v>
      </c>
      <c r="H113" t="s">
        <v>233</v>
      </c>
      <c r="I113" t="s">
        <v>188</v>
      </c>
      <c r="J113">
        <v>155</v>
      </c>
      <c r="K113">
        <v>99.75</v>
      </c>
      <c r="L113">
        <v>15461.25</v>
      </c>
      <c r="M113" t="s">
        <v>159</v>
      </c>
      <c r="N113" t="b">
        <v>0</v>
      </c>
      <c r="O113">
        <v>11</v>
      </c>
    </row>
    <row r="114" spans="1:15" x14ac:dyDescent="0.35">
      <c r="A114" t="s">
        <v>446</v>
      </c>
      <c r="B114" t="s">
        <v>11</v>
      </c>
      <c r="C114" t="s">
        <v>8</v>
      </c>
      <c r="D114" t="s">
        <v>12</v>
      </c>
      <c r="E114" t="s">
        <v>180</v>
      </c>
      <c r="F114" t="s">
        <v>130</v>
      </c>
      <c r="G114" t="s">
        <v>69</v>
      </c>
      <c r="H114" t="s">
        <v>88</v>
      </c>
      <c r="I114" t="s">
        <v>447</v>
      </c>
      <c r="J114">
        <v>234</v>
      </c>
      <c r="K114">
        <v>3104</v>
      </c>
      <c r="L114">
        <v>726336</v>
      </c>
      <c r="M114" t="s">
        <v>170</v>
      </c>
      <c r="N114" t="b">
        <v>1</v>
      </c>
      <c r="O114">
        <v>0</v>
      </c>
    </row>
    <row r="115" spans="1:15" x14ac:dyDescent="0.35">
      <c r="A115" t="s">
        <v>448</v>
      </c>
      <c r="B115" t="s">
        <v>36</v>
      </c>
      <c r="C115" t="s">
        <v>37</v>
      </c>
      <c r="D115" t="s">
        <v>38</v>
      </c>
      <c r="E115" t="s">
        <v>143</v>
      </c>
      <c r="F115" t="s">
        <v>128</v>
      </c>
      <c r="G115" t="s">
        <v>407</v>
      </c>
      <c r="H115" t="s">
        <v>176</v>
      </c>
      <c r="I115" t="s">
        <v>449</v>
      </c>
      <c r="J115">
        <v>291</v>
      </c>
      <c r="K115">
        <v>190.75</v>
      </c>
      <c r="L115">
        <v>55508.25</v>
      </c>
      <c r="M115" t="s">
        <v>146</v>
      </c>
      <c r="N115" t="b">
        <v>1</v>
      </c>
      <c r="O115">
        <v>0</v>
      </c>
    </row>
    <row r="116" spans="1:15" x14ac:dyDescent="0.35">
      <c r="A116" t="s">
        <v>450</v>
      </c>
      <c r="B116" t="s">
        <v>29</v>
      </c>
      <c r="C116" t="s">
        <v>27</v>
      </c>
      <c r="D116" t="s">
        <v>20</v>
      </c>
      <c r="E116" t="s">
        <v>180</v>
      </c>
      <c r="F116" t="s">
        <v>130</v>
      </c>
      <c r="G116" t="s">
        <v>86</v>
      </c>
      <c r="H116" t="s">
        <v>96</v>
      </c>
      <c r="I116" t="s">
        <v>451</v>
      </c>
      <c r="J116">
        <v>104</v>
      </c>
      <c r="K116">
        <v>90.25</v>
      </c>
      <c r="L116">
        <v>9386</v>
      </c>
      <c r="M116" t="s">
        <v>170</v>
      </c>
      <c r="N116" t="b">
        <v>1</v>
      </c>
      <c r="O116">
        <v>0</v>
      </c>
    </row>
    <row r="117" spans="1:15" x14ac:dyDescent="0.35">
      <c r="A117" t="s">
        <v>452</v>
      </c>
      <c r="B117" t="s">
        <v>34</v>
      </c>
      <c r="C117" t="s">
        <v>32</v>
      </c>
      <c r="D117" t="s">
        <v>35</v>
      </c>
      <c r="E117" t="s">
        <v>183</v>
      </c>
      <c r="F117" t="s">
        <v>129</v>
      </c>
      <c r="G117" t="s">
        <v>312</v>
      </c>
      <c r="H117" t="s">
        <v>453</v>
      </c>
      <c r="I117" t="s">
        <v>453</v>
      </c>
      <c r="J117">
        <v>338</v>
      </c>
      <c r="K117">
        <v>824.5</v>
      </c>
      <c r="L117">
        <v>278681</v>
      </c>
      <c r="M117" t="s">
        <v>170</v>
      </c>
      <c r="N117" t="b">
        <v>1</v>
      </c>
      <c r="O117">
        <v>0</v>
      </c>
    </row>
    <row r="118" spans="1:15" x14ac:dyDescent="0.35">
      <c r="A118" t="s">
        <v>454</v>
      </c>
      <c r="B118" t="s">
        <v>19</v>
      </c>
      <c r="C118" t="s">
        <v>14</v>
      </c>
      <c r="D118" t="s">
        <v>20</v>
      </c>
      <c r="E118" t="s">
        <v>180</v>
      </c>
      <c r="F118" t="s">
        <v>130</v>
      </c>
      <c r="G118" t="s">
        <v>455</v>
      </c>
      <c r="H118" t="s">
        <v>456</v>
      </c>
      <c r="I118" t="s">
        <v>457</v>
      </c>
      <c r="J118">
        <v>272</v>
      </c>
      <c r="K118">
        <v>441.6</v>
      </c>
      <c r="L118">
        <v>120115.2</v>
      </c>
      <c r="M118" t="s">
        <v>146</v>
      </c>
      <c r="N118" t="b">
        <v>1</v>
      </c>
      <c r="O118">
        <v>0</v>
      </c>
    </row>
    <row r="119" spans="1:15" x14ac:dyDescent="0.35">
      <c r="A119" t="s">
        <v>458</v>
      </c>
      <c r="B119" t="s">
        <v>44</v>
      </c>
      <c r="C119" t="s">
        <v>45</v>
      </c>
      <c r="D119" t="s">
        <v>46</v>
      </c>
      <c r="E119" t="s">
        <v>165</v>
      </c>
      <c r="F119" t="s">
        <v>129</v>
      </c>
      <c r="G119" t="s">
        <v>158</v>
      </c>
      <c r="H119" t="s">
        <v>459</v>
      </c>
      <c r="I119" t="s">
        <v>460</v>
      </c>
      <c r="J119">
        <v>320</v>
      </c>
      <c r="K119">
        <v>31.92</v>
      </c>
      <c r="L119">
        <v>10214.4</v>
      </c>
      <c r="M119" t="s">
        <v>170</v>
      </c>
      <c r="N119" t="b">
        <v>1</v>
      </c>
      <c r="O119">
        <v>0</v>
      </c>
    </row>
    <row r="120" spans="1:15" x14ac:dyDescent="0.35">
      <c r="A120" t="s">
        <v>461</v>
      </c>
      <c r="B120" t="s">
        <v>39</v>
      </c>
      <c r="C120" t="s">
        <v>37</v>
      </c>
      <c r="D120" t="s">
        <v>40</v>
      </c>
      <c r="E120" t="s">
        <v>180</v>
      </c>
      <c r="F120" t="s">
        <v>130</v>
      </c>
      <c r="G120" t="s">
        <v>412</v>
      </c>
      <c r="H120" t="s">
        <v>413</v>
      </c>
      <c r="I120" t="s">
        <v>462</v>
      </c>
      <c r="J120">
        <v>383</v>
      </c>
      <c r="K120">
        <v>187.25</v>
      </c>
      <c r="L120">
        <v>71716.75</v>
      </c>
      <c r="M120" t="s">
        <v>146</v>
      </c>
      <c r="N120" t="b">
        <v>1</v>
      </c>
      <c r="O120">
        <v>0</v>
      </c>
    </row>
    <row r="121" spans="1:15" x14ac:dyDescent="0.35">
      <c r="A121" t="s">
        <v>463</v>
      </c>
      <c r="B121" t="s">
        <v>47</v>
      </c>
      <c r="C121" t="s">
        <v>45</v>
      </c>
      <c r="D121" t="s">
        <v>48</v>
      </c>
      <c r="E121" t="s">
        <v>180</v>
      </c>
      <c r="F121" t="s">
        <v>127</v>
      </c>
      <c r="G121" t="s">
        <v>464</v>
      </c>
      <c r="H121" t="s">
        <v>465</v>
      </c>
      <c r="I121" t="s">
        <v>465</v>
      </c>
      <c r="J121">
        <v>306</v>
      </c>
      <c r="K121">
        <v>26.04</v>
      </c>
      <c r="L121">
        <v>7968.24</v>
      </c>
      <c r="M121" t="s">
        <v>195</v>
      </c>
      <c r="N121" t="b">
        <v>1</v>
      </c>
      <c r="O121">
        <v>0</v>
      </c>
    </row>
    <row r="122" spans="1:15" x14ac:dyDescent="0.35">
      <c r="A122" t="s">
        <v>466</v>
      </c>
      <c r="B122" t="s">
        <v>26</v>
      </c>
      <c r="C122" t="s">
        <v>27</v>
      </c>
      <c r="D122" t="s">
        <v>28</v>
      </c>
      <c r="E122" t="s">
        <v>180</v>
      </c>
      <c r="F122" t="s">
        <v>127</v>
      </c>
      <c r="G122" t="s">
        <v>467</v>
      </c>
      <c r="H122" t="s">
        <v>468</v>
      </c>
      <c r="I122" t="s">
        <v>323</v>
      </c>
      <c r="J122">
        <v>71</v>
      </c>
      <c r="K122">
        <v>99.75</v>
      </c>
      <c r="L122">
        <v>7082.25</v>
      </c>
      <c r="M122" t="s">
        <v>146</v>
      </c>
      <c r="N122" t="b">
        <v>1</v>
      </c>
      <c r="O122">
        <v>0</v>
      </c>
    </row>
    <row r="123" spans="1:15" x14ac:dyDescent="0.35">
      <c r="A123" t="s">
        <v>469</v>
      </c>
      <c r="B123" t="s">
        <v>11</v>
      </c>
      <c r="C123" t="s">
        <v>8</v>
      </c>
      <c r="D123" t="s">
        <v>12</v>
      </c>
      <c r="E123" t="s">
        <v>165</v>
      </c>
      <c r="F123" t="s">
        <v>130</v>
      </c>
      <c r="G123" t="s">
        <v>390</v>
      </c>
      <c r="H123" t="s">
        <v>225</v>
      </c>
      <c r="I123" t="s">
        <v>187</v>
      </c>
      <c r="J123">
        <v>138</v>
      </c>
      <c r="K123">
        <v>3104</v>
      </c>
      <c r="L123">
        <v>428352</v>
      </c>
      <c r="M123" t="s">
        <v>159</v>
      </c>
      <c r="N123" t="b">
        <v>0</v>
      </c>
      <c r="O123">
        <v>15</v>
      </c>
    </row>
    <row r="124" spans="1:15" x14ac:dyDescent="0.35">
      <c r="A124" t="s">
        <v>470</v>
      </c>
      <c r="B124" t="s">
        <v>47</v>
      </c>
      <c r="C124" t="s">
        <v>45</v>
      </c>
      <c r="D124" t="s">
        <v>48</v>
      </c>
      <c r="E124" t="s">
        <v>143</v>
      </c>
      <c r="F124" t="s">
        <v>129</v>
      </c>
      <c r="G124" t="s">
        <v>471</v>
      </c>
      <c r="H124" t="s">
        <v>472</v>
      </c>
      <c r="I124" t="s">
        <v>473</v>
      </c>
      <c r="J124">
        <v>339</v>
      </c>
      <c r="K124">
        <v>26.04</v>
      </c>
      <c r="L124">
        <v>8827.56</v>
      </c>
      <c r="M124" t="s">
        <v>195</v>
      </c>
      <c r="N124" t="b">
        <v>1</v>
      </c>
      <c r="O124">
        <v>0</v>
      </c>
    </row>
    <row r="125" spans="1:15" x14ac:dyDescent="0.35">
      <c r="A125" t="s">
        <v>474</v>
      </c>
      <c r="B125" t="s">
        <v>29</v>
      </c>
      <c r="C125" t="s">
        <v>27</v>
      </c>
      <c r="D125" t="s">
        <v>20</v>
      </c>
      <c r="E125" t="s">
        <v>165</v>
      </c>
      <c r="F125" t="s">
        <v>129</v>
      </c>
      <c r="G125" t="s">
        <v>475</v>
      </c>
      <c r="H125" t="s">
        <v>427</v>
      </c>
      <c r="I125" t="s">
        <v>476</v>
      </c>
      <c r="J125">
        <v>352</v>
      </c>
      <c r="K125">
        <v>90.25</v>
      </c>
      <c r="L125">
        <v>31768</v>
      </c>
      <c r="M125" t="s">
        <v>170</v>
      </c>
      <c r="N125" t="b">
        <v>1</v>
      </c>
      <c r="O125">
        <v>0</v>
      </c>
    </row>
    <row r="126" spans="1:15" x14ac:dyDescent="0.35">
      <c r="A126" t="s">
        <v>477</v>
      </c>
      <c r="B126" t="s">
        <v>11</v>
      </c>
      <c r="C126" t="s">
        <v>8</v>
      </c>
      <c r="D126" t="s">
        <v>12</v>
      </c>
      <c r="E126" t="s">
        <v>143</v>
      </c>
      <c r="F126" t="s">
        <v>130</v>
      </c>
      <c r="G126" t="s">
        <v>428</v>
      </c>
      <c r="H126" t="s">
        <v>379</v>
      </c>
      <c r="I126" t="s">
        <v>478</v>
      </c>
      <c r="J126">
        <v>171</v>
      </c>
      <c r="K126">
        <v>3104</v>
      </c>
      <c r="L126">
        <v>530784</v>
      </c>
      <c r="M126" t="s">
        <v>146</v>
      </c>
      <c r="N126" t="b">
        <v>1</v>
      </c>
      <c r="O126">
        <v>0</v>
      </c>
    </row>
    <row r="127" spans="1:15" x14ac:dyDescent="0.35">
      <c r="A127" t="s">
        <v>479</v>
      </c>
      <c r="B127" t="s">
        <v>29</v>
      </c>
      <c r="C127" t="s">
        <v>27</v>
      </c>
      <c r="D127" t="s">
        <v>20</v>
      </c>
      <c r="E127" t="s">
        <v>165</v>
      </c>
      <c r="F127" t="s">
        <v>127</v>
      </c>
      <c r="G127" t="s">
        <v>148</v>
      </c>
      <c r="H127" t="s">
        <v>166</v>
      </c>
      <c r="I127" t="s">
        <v>110</v>
      </c>
      <c r="J127">
        <v>339</v>
      </c>
      <c r="K127">
        <v>90.25</v>
      </c>
      <c r="L127">
        <v>30594.75</v>
      </c>
      <c r="M127" t="s">
        <v>146</v>
      </c>
      <c r="N127" t="b">
        <v>1</v>
      </c>
      <c r="O127">
        <v>0</v>
      </c>
    </row>
    <row r="128" spans="1:15" x14ac:dyDescent="0.35">
      <c r="A128" t="s">
        <v>480</v>
      </c>
      <c r="B128" t="s">
        <v>49</v>
      </c>
      <c r="C128" t="s">
        <v>50</v>
      </c>
      <c r="D128" t="s">
        <v>33</v>
      </c>
      <c r="E128" t="s">
        <v>183</v>
      </c>
      <c r="F128" t="s">
        <v>127</v>
      </c>
      <c r="G128" t="s">
        <v>481</v>
      </c>
      <c r="H128" t="s">
        <v>482</v>
      </c>
      <c r="I128" t="s">
        <v>93</v>
      </c>
      <c r="J128">
        <v>69</v>
      </c>
      <c r="K128">
        <v>59.8</v>
      </c>
      <c r="L128">
        <v>4126.2</v>
      </c>
      <c r="M128" t="s">
        <v>170</v>
      </c>
      <c r="N128" t="b">
        <v>1</v>
      </c>
      <c r="O128">
        <v>0</v>
      </c>
    </row>
    <row r="129" spans="1:15" x14ac:dyDescent="0.35">
      <c r="A129" t="s">
        <v>483</v>
      </c>
      <c r="B129" t="s">
        <v>36</v>
      </c>
      <c r="C129" t="s">
        <v>37</v>
      </c>
      <c r="D129" t="s">
        <v>38</v>
      </c>
      <c r="E129" t="s">
        <v>183</v>
      </c>
      <c r="F129" t="s">
        <v>130</v>
      </c>
      <c r="G129" t="s">
        <v>484</v>
      </c>
      <c r="H129" t="s">
        <v>236</v>
      </c>
      <c r="I129" t="s">
        <v>216</v>
      </c>
      <c r="J129">
        <v>290</v>
      </c>
      <c r="K129">
        <v>190.75</v>
      </c>
      <c r="L129">
        <v>55317.5</v>
      </c>
      <c r="M129" t="s">
        <v>146</v>
      </c>
      <c r="N129" t="b">
        <v>1</v>
      </c>
      <c r="O129">
        <v>0</v>
      </c>
    </row>
    <row r="130" spans="1:15" x14ac:dyDescent="0.35">
      <c r="A130" t="s">
        <v>485</v>
      </c>
      <c r="B130" t="s">
        <v>19</v>
      </c>
      <c r="C130" t="s">
        <v>14</v>
      </c>
      <c r="D130" t="s">
        <v>20</v>
      </c>
      <c r="E130" t="s">
        <v>143</v>
      </c>
      <c r="F130" t="s">
        <v>127</v>
      </c>
      <c r="G130" t="s">
        <v>486</v>
      </c>
      <c r="H130" t="s">
        <v>487</v>
      </c>
      <c r="I130" t="s">
        <v>488</v>
      </c>
      <c r="J130">
        <v>323</v>
      </c>
      <c r="K130">
        <v>441.6</v>
      </c>
      <c r="L130">
        <v>142636.79999999999</v>
      </c>
      <c r="M130" t="s">
        <v>170</v>
      </c>
      <c r="N130" t="b">
        <v>1</v>
      </c>
      <c r="O130">
        <v>0</v>
      </c>
    </row>
    <row r="131" spans="1:15" x14ac:dyDescent="0.35">
      <c r="A131" t="s">
        <v>489</v>
      </c>
      <c r="B131" t="s">
        <v>41</v>
      </c>
      <c r="C131" t="s">
        <v>42</v>
      </c>
      <c r="D131" t="s">
        <v>23</v>
      </c>
      <c r="E131" t="s">
        <v>183</v>
      </c>
      <c r="F131" t="s">
        <v>129</v>
      </c>
      <c r="G131" t="s">
        <v>385</v>
      </c>
      <c r="H131" t="s">
        <v>163</v>
      </c>
      <c r="I131" t="s">
        <v>478</v>
      </c>
      <c r="J131">
        <v>257</v>
      </c>
      <c r="K131">
        <v>397.7</v>
      </c>
      <c r="L131">
        <v>102208.9</v>
      </c>
      <c r="M131" t="s">
        <v>170</v>
      </c>
      <c r="N131" t="b">
        <v>1</v>
      </c>
      <c r="O131">
        <v>0</v>
      </c>
    </row>
    <row r="132" spans="1:15" x14ac:dyDescent="0.35">
      <c r="A132" t="s">
        <v>490</v>
      </c>
      <c r="B132" t="s">
        <v>51</v>
      </c>
      <c r="C132" t="s">
        <v>52</v>
      </c>
      <c r="D132" t="s">
        <v>53</v>
      </c>
      <c r="E132" t="s">
        <v>183</v>
      </c>
      <c r="F132" t="s">
        <v>127</v>
      </c>
      <c r="G132" t="s">
        <v>491</v>
      </c>
      <c r="H132" t="s">
        <v>436</v>
      </c>
      <c r="I132" t="s">
        <v>375</v>
      </c>
      <c r="J132">
        <v>311</v>
      </c>
      <c r="K132">
        <v>44.1</v>
      </c>
      <c r="L132">
        <v>13715.1</v>
      </c>
      <c r="M132" t="s">
        <v>146</v>
      </c>
      <c r="N132" t="b">
        <v>1</v>
      </c>
      <c r="O132">
        <v>0</v>
      </c>
    </row>
    <row r="133" spans="1:15" x14ac:dyDescent="0.35">
      <c r="A133" t="s">
        <v>492</v>
      </c>
      <c r="B133" t="s">
        <v>36</v>
      </c>
      <c r="C133" t="s">
        <v>37</v>
      </c>
      <c r="D133" t="s">
        <v>38</v>
      </c>
      <c r="E133" t="s">
        <v>183</v>
      </c>
      <c r="F133" t="s">
        <v>129</v>
      </c>
      <c r="G133" t="s">
        <v>176</v>
      </c>
      <c r="H133" t="s">
        <v>385</v>
      </c>
      <c r="I133" t="s">
        <v>230</v>
      </c>
      <c r="J133">
        <v>300</v>
      </c>
      <c r="K133">
        <v>190.75</v>
      </c>
      <c r="L133">
        <v>57225</v>
      </c>
      <c r="M133" t="s">
        <v>195</v>
      </c>
      <c r="N133" t="b">
        <v>1</v>
      </c>
      <c r="O133">
        <v>0</v>
      </c>
    </row>
    <row r="134" spans="1:15" x14ac:dyDescent="0.35">
      <c r="A134" t="s">
        <v>493</v>
      </c>
      <c r="B134" t="s">
        <v>7</v>
      </c>
      <c r="C134" t="s">
        <v>8</v>
      </c>
      <c r="D134" t="s">
        <v>9</v>
      </c>
      <c r="E134" t="s">
        <v>152</v>
      </c>
      <c r="F134" t="s">
        <v>129</v>
      </c>
      <c r="G134" t="s">
        <v>215</v>
      </c>
      <c r="H134" t="s">
        <v>222</v>
      </c>
      <c r="I134" t="s">
        <v>494</v>
      </c>
      <c r="J134">
        <v>198</v>
      </c>
      <c r="K134">
        <v>2976</v>
      </c>
      <c r="L134">
        <v>589248</v>
      </c>
      <c r="M134" t="s">
        <v>170</v>
      </c>
      <c r="N134" t="b">
        <v>1</v>
      </c>
      <c r="O134">
        <v>0</v>
      </c>
    </row>
    <row r="135" spans="1:15" x14ac:dyDescent="0.35">
      <c r="A135" t="s">
        <v>495</v>
      </c>
      <c r="B135" t="s">
        <v>26</v>
      </c>
      <c r="C135" t="s">
        <v>27</v>
      </c>
      <c r="D135" t="s">
        <v>28</v>
      </c>
      <c r="E135" t="s">
        <v>165</v>
      </c>
      <c r="F135" t="s">
        <v>130</v>
      </c>
      <c r="G135" t="s">
        <v>65</v>
      </c>
      <c r="H135" t="s">
        <v>75</v>
      </c>
      <c r="I135" t="s">
        <v>363</v>
      </c>
      <c r="J135">
        <v>59</v>
      </c>
      <c r="K135">
        <v>99.75</v>
      </c>
      <c r="L135">
        <v>5885.25</v>
      </c>
      <c r="M135" t="s">
        <v>170</v>
      </c>
      <c r="N135" t="b">
        <v>1</v>
      </c>
      <c r="O135">
        <v>0</v>
      </c>
    </row>
    <row r="136" spans="1:15" x14ac:dyDescent="0.35">
      <c r="A136" t="s">
        <v>496</v>
      </c>
      <c r="B136" t="s">
        <v>36</v>
      </c>
      <c r="C136" t="s">
        <v>37</v>
      </c>
      <c r="D136" t="s">
        <v>38</v>
      </c>
      <c r="E136" t="s">
        <v>180</v>
      </c>
      <c r="F136" t="s">
        <v>128</v>
      </c>
      <c r="G136" t="s">
        <v>86</v>
      </c>
      <c r="H136" t="s">
        <v>94</v>
      </c>
      <c r="I136" t="s">
        <v>94</v>
      </c>
      <c r="J136">
        <v>289</v>
      </c>
      <c r="K136">
        <v>190.75</v>
      </c>
      <c r="L136">
        <v>55126.75</v>
      </c>
      <c r="M136" t="s">
        <v>195</v>
      </c>
      <c r="N136" t="b">
        <v>1</v>
      </c>
      <c r="O136">
        <v>0</v>
      </c>
    </row>
    <row r="137" spans="1:15" x14ac:dyDescent="0.35">
      <c r="A137" t="s">
        <v>497</v>
      </c>
      <c r="B137" t="s">
        <v>31</v>
      </c>
      <c r="C137" t="s">
        <v>32</v>
      </c>
      <c r="D137" t="s">
        <v>33</v>
      </c>
      <c r="E137" t="s">
        <v>183</v>
      </c>
      <c r="F137" t="s">
        <v>127</v>
      </c>
      <c r="G137" t="s">
        <v>401</v>
      </c>
      <c r="H137" t="s">
        <v>498</v>
      </c>
      <c r="I137" t="s">
        <v>293</v>
      </c>
      <c r="J137">
        <v>369</v>
      </c>
      <c r="K137">
        <v>816</v>
      </c>
      <c r="L137">
        <v>301104</v>
      </c>
      <c r="M137" t="s">
        <v>195</v>
      </c>
      <c r="N137" t="b">
        <v>1</v>
      </c>
      <c r="O137">
        <v>0</v>
      </c>
    </row>
    <row r="138" spans="1:15" x14ac:dyDescent="0.35">
      <c r="A138" t="s">
        <v>499</v>
      </c>
      <c r="B138" t="s">
        <v>21</v>
      </c>
      <c r="C138" t="s">
        <v>22</v>
      </c>
      <c r="D138" t="s">
        <v>23</v>
      </c>
      <c r="E138" t="s">
        <v>143</v>
      </c>
      <c r="F138" t="s">
        <v>129</v>
      </c>
      <c r="G138" t="s">
        <v>500</v>
      </c>
      <c r="H138" t="s">
        <v>501</v>
      </c>
      <c r="I138" t="s">
        <v>324</v>
      </c>
      <c r="J138">
        <v>185</v>
      </c>
      <c r="K138">
        <v>200.2</v>
      </c>
      <c r="L138">
        <v>37037</v>
      </c>
      <c r="M138" t="s">
        <v>170</v>
      </c>
      <c r="N138" t="b">
        <v>1</v>
      </c>
      <c r="O138">
        <v>0</v>
      </c>
    </row>
    <row r="139" spans="1:15" x14ac:dyDescent="0.35">
      <c r="A139" t="s">
        <v>502</v>
      </c>
      <c r="B139" t="s">
        <v>7</v>
      </c>
      <c r="C139" t="s">
        <v>8</v>
      </c>
      <c r="D139" t="s">
        <v>9</v>
      </c>
      <c r="E139" t="s">
        <v>165</v>
      </c>
      <c r="F139" t="s">
        <v>128</v>
      </c>
      <c r="G139" t="s">
        <v>174</v>
      </c>
      <c r="H139" t="s">
        <v>503</v>
      </c>
      <c r="I139" t="s">
        <v>194</v>
      </c>
      <c r="J139">
        <v>122</v>
      </c>
      <c r="K139">
        <v>2976</v>
      </c>
      <c r="L139">
        <v>363072</v>
      </c>
      <c r="M139" t="s">
        <v>170</v>
      </c>
      <c r="N139" t="b">
        <v>1</v>
      </c>
      <c r="O139">
        <v>0</v>
      </c>
    </row>
    <row r="140" spans="1:15" x14ac:dyDescent="0.35">
      <c r="A140" t="s">
        <v>504</v>
      </c>
      <c r="B140" t="s">
        <v>19</v>
      </c>
      <c r="C140" t="s">
        <v>14</v>
      </c>
      <c r="D140" t="s">
        <v>20</v>
      </c>
      <c r="E140" t="s">
        <v>180</v>
      </c>
      <c r="F140" t="s">
        <v>128</v>
      </c>
      <c r="G140" t="s">
        <v>413</v>
      </c>
      <c r="H140" t="s">
        <v>505</v>
      </c>
      <c r="I140" t="s">
        <v>315</v>
      </c>
      <c r="J140">
        <v>142</v>
      </c>
      <c r="K140">
        <v>441.6</v>
      </c>
      <c r="L140">
        <v>62707.199999999997</v>
      </c>
      <c r="M140" t="s">
        <v>146</v>
      </c>
      <c r="N140" t="b">
        <v>1</v>
      </c>
      <c r="O140">
        <v>0</v>
      </c>
    </row>
    <row r="141" spans="1:15" x14ac:dyDescent="0.35">
      <c r="A141" t="s">
        <v>506</v>
      </c>
      <c r="B141" t="s">
        <v>47</v>
      </c>
      <c r="C141" t="s">
        <v>45</v>
      </c>
      <c r="D141" t="s">
        <v>48</v>
      </c>
      <c r="E141" t="s">
        <v>165</v>
      </c>
      <c r="F141" t="s">
        <v>128</v>
      </c>
      <c r="G141" t="s">
        <v>89</v>
      </c>
      <c r="H141" t="s">
        <v>95</v>
      </c>
      <c r="I141" t="s">
        <v>248</v>
      </c>
      <c r="J141">
        <v>86</v>
      </c>
      <c r="K141">
        <v>26.04</v>
      </c>
      <c r="L141">
        <v>2239.44</v>
      </c>
      <c r="M141" t="s">
        <v>159</v>
      </c>
      <c r="N141" t="b">
        <v>0</v>
      </c>
      <c r="O141">
        <v>10</v>
      </c>
    </row>
    <row r="142" spans="1:15" x14ac:dyDescent="0.35">
      <c r="A142" t="s">
        <v>507</v>
      </c>
      <c r="B142" t="s">
        <v>54</v>
      </c>
      <c r="C142" t="s">
        <v>52</v>
      </c>
      <c r="D142" t="s">
        <v>55</v>
      </c>
      <c r="E142" t="s">
        <v>152</v>
      </c>
      <c r="F142" t="s">
        <v>127</v>
      </c>
      <c r="G142" t="s">
        <v>407</v>
      </c>
      <c r="H142" t="s">
        <v>508</v>
      </c>
      <c r="I142" t="s">
        <v>509</v>
      </c>
      <c r="J142">
        <v>46</v>
      </c>
      <c r="K142">
        <v>45.36</v>
      </c>
      <c r="L142">
        <v>2086.56</v>
      </c>
      <c r="M142" t="s">
        <v>170</v>
      </c>
      <c r="N142" t="b">
        <v>1</v>
      </c>
      <c r="O142">
        <v>0</v>
      </c>
    </row>
    <row r="143" spans="1:15" x14ac:dyDescent="0.35">
      <c r="A143" t="s">
        <v>510</v>
      </c>
      <c r="B143" t="s">
        <v>49</v>
      </c>
      <c r="C143" t="s">
        <v>50</v>
      </c>
      <c r="D143" t="s">
        <v>33</v>
      </c>
      <c r="E143" t="s">
        <v>165</v>
      </c>
      <c r="F143" t="s">
        <v>129</v>
      </c>
      <c r="G143" t="s">
        <v>86</v>
      </c>
      <c r="H143" t="s">
        <v>99</v>
      </c>
      <c r="I143" t="s">
        <v>216</v>
      </c>
      <c r="J143">
        <v>165</v>
      </c>
      <c r="K143">
        <v>59.8</v>
      </c>
      <c r="L143">
        <v>9867</v>
      </c>
      <c r="M143" t="s">
        <v>170</v>
      </c>
      <c r="N143" t="b">
        <v>1</v>
      </c>
      <c r="O143">
        <v>0</v>
      </c>
    </row>
    <row r="144" spans="1:15" x14ac:dyDescent="0.35">
      <c r="A144" t="s">
        <v>511</v>
      </c>
      <c r="B144" t="s">
        <v>29</v>
      </c>
      <c r="C144" t="s">
        <v>27</v>
      </c>
      <c r="D144" t="s">
        <v>20</v>
      </c>
      <c r="E144" t="s">
        <v>165</v>
      </c>
      <c r="F144" t="s">
        <v>128</v>
      </c>
      <c r="G144" t="s">
        <v>305</v>
      </c>
      <c r="H144" t="s">
        <v>482</v>
      </c>
      <c r="I144" t="s">
        <v>94</v>
      </c>
      <c r="J144">
        <v>90</v>
      </c>
      <c r="K144">
        <v>90.25</v>
      </c>
      <c r="L144">
        <v>8122.5</v>
      </c>
      <c r="M144" t="s">
        <v>146</v>
      </c>
      <c r="N144" t="b">
        <v>1</v>
      </c>
      <c r="O144">
        <v>0</v>
      </c>
    </row>
    <row r="145" spans="1:15" x14ac:dyDescent="0.35">
      <c r="A145" t="s">
        <v>512</v>
      </c>
      <c r="B145" t="s">
        <v>29</v>
      </c>
      <c r="C145" t="s">
        <v>27</v>
      </c>
      <c r="D145" t="s">
        <v>20</v>
      </c>
      <c r="E145" t="s">
        <v>152</v>
      </c>
      <c r="F145" t="s">
        <v>130</v>
      </c>
      <c r="G145" t="s">
        <v>440</v>
      </c>
      <c r="H145" t="s">
        <v>513</v>
      </c>
      <c r="I145" t="s">
        <v>233</v>
      </c>
      <c r="J145">
        <v>226</v>
      </c>
      <c r="K145">
        <v>90.25</v>
      </c>
      <c r="L145">
        <v>20396.5</v>
      </c>
      <c r="M145" t="s">
        <v>159</v>
      </c>
      <c r="N145" t="b">
        <v>0</v>
      </c>
      <c r="O145">
        <v>18</v>
      </c>
    </row>
    <row r="146" spans="1:15" x14ac:dyDescent="0.35">
      <c r="A146" t="s">
        <v>514</v>
      </c>
      <c r="B146" t="s">
        <v>26</v>
      </c>
      <c r="C146" t="s">
        <v>27</v>
      </c>
      <c r="D146" t="s">
        <v>28</v>
      </c>
      <c r="E146" t="s">
        <v>152</v>
      </c>
      <c r="F146" t="s">
        <v>128</v>
      </c>
      <c r="G146" t="s">
        <v>472</v>
      </c>
      <c r="H146" t="s">
        <v>168</v>
      </c>
      <c r="I146" t="s">
        <v>82</v>
      </c>
      <c r="J146">
        <v>186</v>
      </c>
      <c r="K146">
        <v>99.75</v>
      </c>
      <c r="L146">
        <v>18553.5</v>
      </c>
      <c r="M146" t="s">
        <v>195</v>
      </c>
      <c r="N146" t="b">
        <v>1</v>
      </c>
      <c r="O146">
        <v>0</v>
      </c>
    </row>
    <row r="147" spans="1:15" x14ac:dyDescent="0.35">
      <c r="A147" t="s">
        <v>515</v>
      </c>
      <c r="B147" t="s">
        <v>24</v>
      </c>
      <c r="C147" t="s">
        <v>22</v>
      </c>
      <c r="D147" t="s">
        <v>25</v>
      </c>
      <c r="E147" t="s">
        <v>143</v>
      </c>
      <c r="F147" t="s">
        <v>127</v>
      </c>
      <c r="G147" t="s">
        <v>267</v>
      </c>
      <c r="H147" t="s">
        <v>361</v>
      </c>
      <c r="I147" t="s">
        <v>418</v>
      </c>
      <c r="J147">
        <v>191</v>
      </c>
      <c r="K147">
        <v>209</v>
      </c>
      <c r="L147">
        <v>39919</v>
      </c>
      <c r="M147" t="s">
        <v>170</v>
      </c>
      <c r="N147" t="b">
        <v>1</v>
      </c>
      <c r="O147">
        <v>0</v>
      </c>
    </row>
    <row r="148" spans="1:15" x14ac:dyDescent="0.35">
      <c r="A148" t="s">
        <v>516</v>
      </c>
      <c r="B148" t="s">
        <v>36</v>
      </c>
      <c r="C148" t="s">
        <v>37</v>
      </c>
      <c r="D148" t="s">
        <v>38</v>
      </c>
      <c r="E148" t="s">
        <v>180</v>
      </c>
      <c r="F148" t="s">
        <v>129</v>
      </c>
      <c r="G148" t="s">
        <v>103</v>
      </c>
      <c r="H148" t="s">
        <v>111</v>
      </c>
      <c r="I148" t="s">
        <v>265</v>
      </c>
      <c r="J148">
        <v>266</v>
      </c>
      <c r="K148">
        <v>190.75</v>
      </c>
      <c r="L148">
        <v>50739.5</v>
      </c>
      <c r="M148" t="s">
        <v>195</v>
      </c>
      <c r="N148" t="b">
        <v>1</v>
      </c>
      <c r="O148">
        <v>0</v>
      </c>
    </row>
    <row r="149" spans="1:15" x14ac:dyDescent="0.35">
      <c r="A149" t="s">
        <v>517</v>
      </c>
      <c r="B149" t="s">
        <v>31</v>
      </c>
      <c r="C149" t="s">
        <v>32</v>
      </c>
      <c r="D149" t="s">
        <v>33</v>
      </c>
      <c r="E149" t="s">
        <v>183</v>
      </c>
      <c r="F149" t="s">
        <v>129</v>
      </c>
      <c r="G149" t="s">
        <v>360</v>
      </c>
      <c r="H149" t="s">
        <v>467</v>
      </c>
      <c r="I149" t="s">
        <v>433</v>
      </c>
      <c r="J149">
        <v>239</v>
      </c>
      <c r="K149">
        <v>816</v>
      </c>
      <c r="L149">
        <v>195024</v>
      </c>
      <c r="M149" t="s">
        <v>195</v>
      </c>
      <c r="N149" t="b">
        <v>1</v>
      </c>
      <c r="O149">
        <v>0</v>
      </c>
    </row>
    <row r="150" spans="1:15" x14ac:dyDescent="0.35">
      <c r="A150" t="s">
        <v>518</v>
      </c>
      <c r="B150" t="s">
        <v>26</v>
      </c>
      <c r="C150" t="s">
        <v>27</v>
      </c>
      <c r="D150" t="s">
        <v>28</v>
      </c>
      <c r="E150" t="s">
        <v>183</v>
      </c>
      <c r="F150" t="s">
        <v>129</v>
      </c>
      <c r="G150" t="s">
        <v>155</v>
      </c>
      <c r="H150" t="s">
        <v>194</v>
      </c>
      <c r="I150" t="s">
        <v>272</v>
      </c>
      <c r="J150">
        <v>317</v>
      </c>
      <c r="K150">
        <v>99.75</v>
      </c>
      <c r="L150">
        <v>31620.75</v>
      </c>
      <c r="M150" t="s">
        <v>146</v>
      </c>
      <c r="N150" t="b">
        <v>1</v>
      </c>
      <c r="O150">
        <v>0</v>
      </c>
    </row>
    <row r="151" spans="1:15" x14ac:dyDescent="0.35">
      <c r="A151" t="s">
        <v>519</v>
      </c>
      <c r="B151" t="s">
        <v>36</v>
      </c>
      <c r="C151" t="s">
        <v>37</v>
      </c>
      <c r="D151" t="s">
        <v>38</v>
      </c>
      <c r="E151" t="s">
        <v>143</v>
      </c>
      <c r="F151" t="s">
        <v>128</v>
      </c>
      <c r="G151" t="s">
        <v>304</v>
      </c>
      <c r="H151" t="s">
        <v>169</v>
      </c>
      <c r="I151" t="s">
        <v>433</v>
      </c>
      <c r="J151">
        <v>246</v>
      </c>
      <c r="K151">
        <v>190.75</v>
      </c>
      <c r="L151">
        <v>46924.5</v>
      </c>
      <c r="M151" t="s">
        <v>170</v>
      </c>
      <c r="N151" t="b">
        <v>1</v>
      </c>
      <c r="O151">
        <v>0</v>
      </c>
    </row>
    <row r="152" spans="1:15" x14ac:dyDescent="0.35">
      <c r="A152" t="s">
        <v>520</v>
      </c>
      <c r="B152" t="s">
        <v>44</v>
      </c>
      <c r="C152" t="s">
        <v>45</v>
      </c>
      <c r="D152" t="s">
        <v>46</v>
      </c>
      <c r="E152" t="s">
        <v>180</v>
      </c>
      <c r="F152" t="s">
        <v>128</v>
      </c>
      <c r="G152" t="s">
        <v>521</v>
      </c>
      <c r="H152" t="s">
        <v>522</v>
      </c>
      <c r="I152" t="s">
        <v>348</v>
      </c>
      <c r="J152">
        <v>115</v>
      </c>
      <c r="K152">
        <v>31.92</v>
      </c>
      <c r="L152">
        <v>3670.8</v>
      </c>
      <c r="M152" t="s">
        <v>170</v>
      </c>
      <c r="N152" t="b">
        <v>1</v>
      </c>
      <c r="O152">
        <v>0</v>
      </c>
    </row>
    <row r="153" spans="1:15" x14ac:dyDescent="0.35">
      <c r="A153" t="s">
        <v>523</v>
      </c>
      <c r="B153" t="s">
        <v>54</v>
      </c>
      <c r="C153" t="s">
        <v>52</v>
      </c>
      <c r="D153" t="s">
        <v>55</v>
      </c>
      <c r="E153" t="s">
        <v>180</v>
      </c>
      <c r="F153" t="s">
        <v>130</v>
      </c>
      <c r="G153" t="s">
        <v>323</v>
      </c>
      <c r="H153" t="s">
        <v>353</v>
      </c>
      <c r="I153" t="s">
        <v>353</v>
      </c>
      <c r="J153">
        <v>274</v>
      </c>
      <c r="K153">
        <v>45.36</v>
      </c>
      <c r="L153">
        <v>12428.64</v>
      </c>
      <c r="M153" t="s">
        <v>170</v>
      </c>
      <c r="N153" t="b">
        <v>1</v>
      </c>
      <c r="O153">
        <v>0</v>
      </c>
    </row>
    <row r="154" spans="1:15" x14ac:dyDescent="0.35">
      <c r="A154" t="s">
        <v>524</v>
      </c>
      <c r="B154" t="s">
        <v>19</v>
      </c>
      <c r="C154" t="s">
        <v>14</v>
      </c>
      <c r="D154" t="s">
        <v>20</v>
      </c>
      <c r="E154" t="s">
        <v>165</v>
      </c>
      <c r="F154" t="s">
        <v>129</v>
      </c>
      <c r="G154" t="s">
        <v>249</v>
      </c>
      <c r="H154" t="s">
        <v>525</v>
      </c>
      <c r="I154" t="s">
        <v>526</v>
      </c>
      <c r="J154">
        <v>378</v>
      </c>
      <c r="K154">
        <v>441.6</v>
      </c>
      <c r="L154">
        <v>166924.79999999999</v>
      </c>
      <c r="M154" t="s">
        <v>159</v>
      </c>
      <c r="N154" t="b">
        <v>0</v>
      </c>
      <c r="O154">
        <v>10</v>
      </c>
    </row>
    <row r="155" spans="1:15" x14ac:dyDescent="0.35">
      <c r="A155" t="s">
        <v>527</v>
      </c>
      <c r="B155" t="s">
        <v>13</v>
      </c>
      <c r="C155" t="s">
        <v>14</v>
      </c>
      <c r="D155" t="s">
        <v>15</v>
      </c>
      <c r="E155" t="s">
        <v>143</v>
      </c>
      <c r="F155" t="s">
        <v>128</v>
      </c>
      <c r="G155" t="s">
        <v>528</v>
      </c>
      <c r="H155" t="s">
        <v>343</v>
      </c>
      <c r="I155" t="s">
        <v>90</v>
      </c>
      <c r="J155">
        <v>347</v>
      </c>
      <c r="K155">
        <v>446.4</v>
      </c>
      <c r="L155">
        <v>154900.79999999999</v>
      </c>
      <c r="M155" t="s">
        <v>146</v>
      </c>
      <c r="N155" t="b">
        <v>1</v>
      </c>
      <c r="O155">
        <v>0</v>
      </c>
    </row>
    <row r="156" spans="1:15" x14ac:dyDescent="0.35">
      <c r="A156" t="s">
        <v>529</v>
      </c>
      <c r="B156" t="s">
        <v>41</v>
      </c>
      <c r="C156" t="s">
        <v>42</v>
      </c>
      <c r="D156" t="s">
        <v>23</v>
      </c>
      <c r="E156" t="s">
        <v>183</v>
      </c>
      <c r="F156" t="s">
        <v>130</v>
      </c>
      <c r="G156" t="s">
        <v>82</v>
      </c>
      <c r="H156" t="s">
        <v>100</v>
      </c>
      <c r="I156" t="s">
        <v>263</v>
      </c>
      <c r="J156">
        <v>310</v>
      </c>
      <c r="K156">
        <v>397.7</v>
      </c>
      <c r="L156">
        <v>123287</v>
      </c>
      <c r="M156" t="s">
        <v>170</v>
      </c>
      <c r="N156" t="b">
        <v>1</v>
      </c>
      <c r="O156">
        <v>0</v>
      </c>
    </row>
    <row r="157" spans="1:15" x14ac:dyDescent="0.35">
      <c r="A157" t="s">
        <v>530</v>
      </c>
      <c r="B157" t="s">
        <v>41</v>
      </c>
      <c r="C157" t="s">
        <v>42</v>
      </c>
      <c r="D157" t="s">
        <v>23</v>
      </c>
      <c r="E157" t="s">
        <v>143</v>
      </c>
      <c r="F157" t="s">
        <v>129</v>
      </c>
      <c r="G157" t="s">
        <v>93</v>
      </c>
      <c r="H157" t="s">
        <v>111</v>
      </c>
      <c r="I157" t="s">
        <v>233</v>
      </c>
      <c r="J157">
        <v>335</v>
      </c>
      <c r="K157">
        <v>397.7</v>
      </c>
      <c r="L157">
        <v>133229.5</v>
      </c>
      <c r="M157" t="s">
        <v>159</v>
      </c>
      <c r="N157" t="b">
        <v>0</v>
      </c>
      <c r="O157">
        <v>28</v>
      </c>
    </row>
    <row r="158" spans="1:15" x14ac:dyDescent="0.35">
      <c r="A158" t="s">
        <v>531</v>
      </c>
      <c r="B158" t="s">
        <v>47</v>
      </c>
      <c r="C158" t="s">
        <v>45</v>
      </c>
      <c r="D158" t="s">
        <v>48</v>
      </c>
      <c r="E158" t="s">
        <v>165</v>
      </c>
      <c r="F158" t="s">
        <v>128</v>
      </c>
      <c r="G158" t="s">
        <v>105</v>
      </c>
      <c r="H158" t="s">
        <v>111</v>
      </c>
      <c r="I158" t="s">
        <v>532</v>
      </c>
      <c r="J158">
        <v>114</v>
      </c>
      <c r="K158">
        <v>26.04</v>
      </c>
      <c r="L158">
        <v>2968.56</v>
      </c>
      <c r="M158" t="s">
        <v>170</v>
      </c>
      <c r="N158" t="b">
        <v>1</v>
      </c>
      <c r="O158">
        <v>0</v>
      </c>
    </row>
    <row r="159" spans="1:15" x14ac:dyDescent="0.35">
      <c r="A159" t="s">
        <v>533</v>
      </c>
      <c r="B159" t="s">
        <v>34</v>
      </c>
      <c r="C159" t="s">
        <v>32</v>
      </c>
      <c r="D159" t="s">
        <v>35</v>
      </c>
      <c r="E159" t="s">
        <v>183</v>
      </c>
      <c r="F159" t="s">
        <v>129</v>
      </c>
      <c r="G159" t="s">
        <v>148</v>
      </c>
      <c r="H159" t="s">
        <v>534</v>
      </c>
      <c r="I159" t="s">
        <v>188</v>
      </c>
      <c r="J159">
        <v>65</v>
      </c>
      <c r="K159">
        <v>824.5</v>
      </c>
      <c r="L159">
        <v>53592.5</v>
      </c>
      <c r="M159" t="s">
        <v>170</v>
      </c>
      <c r="N159" t="b">
        <v>1</v>
      </c>
      <c r="O159">
        <v>0</v>
      </c>
    </row>
    <row r="160" spans="1:15" x14ac:dyDescent="0.35">
      <c r="A160" t="s">
        <v>535</v>
      </c>
      <c r="B160" t="s">
        <v>19</v>
      </c>
      <c r="C160" t="s">
        <v>14</v>
      </c>
      <c r="D160" t="s">
        <v>20</v>
      </c>
      <c r="E160" t="s">
        <v>152</v>
      </c>
      <c r="F160" t="s">
        <v>129</v>
      </c>
      <c r="G160" t="s">
        <v>536</v>
      </c>
      <c r="H160" t="s">
        <v>332</v>
      </c>
      <c r="I160" t="s">
        <v>205</v>
      </c>
      <c r="J160">
        <v>197</v>
      </c>
      <c r="K160">
        <v>441.6</v>
      </c>
      <c r="L160">
        <v>86995.199999999997</v>
      </c>
      <c r="M160" t="s">
        <v>170</v>
      </c>
      <c r="N160" t="b">
        <v>1</v>
      </c>
      <c r="O160">
        <v>0</v>
      </c>
    </row>
    <row r="161" spans="1:15" x14ac:dyDescent="0.35">
      <c r="A161" t="s">
        <v>537</v>
      </c>
      <c r="B161" t="s">
        <v>21</v>
      </c>
      <c r="C161" t="s">
        <v>22</v>
      </c>
      <c r="D161" t="s">
        <v>23</v>
      </c>
      <c r="E161" t="s">
        <v>143</v>
      </c>
      <c r="F161" t="s">
        <v>130</v>
      </c>
      <c r="G161" t="s">
        <v>538</v>
      </c>
      <c r="H161" t="s">
        <v>357</v>
      </c>
      <c r="I161" t="s">
        <v>168</v>
      </c>
      <c r="J161">
        <v>185</v>
      </c>
      <c r="K161">
        <v>200.2</v>
      </c>
      <c r="L161">
        <v>37037</v>
      </c>
      <c r="M161" t="s">
        <v>159</v>
      </c>
      <c r="N161" t="b">
        <v>0</v>
      </c>
      <c r="O161">
        <v>14</v>
      </c>
    </row>
    <row r="162" spans="1:15" x14ac:dyDescent="0.35">
      <c r="A162" t="s">
        <v>539</v>
      </c>
      <c r="B162" t="s">
        <v>49</v>
      </c>
      <c r="C162" t="s">
        <v>50</v>
      </c>
      <c r="D162" t="s">
        <v>33</v>
      </c>
      <c r="E162" t="s">
        <v>183</v>
      </c>
      <c r="F162" t="s">
        <v>129</v>
      </c>
      <c r="G162" t="s">
        <v>540</v>
      </c>
      <c r="H162" t="s">
        <v>451</v>
      </c>
      <c r="I162" t="s">
        <v>541</v>
      </c>
      <c r="J162">
        <v>163</v>
      </c>
      <c r="K162">
        <v>59.8</v>
      </c>
      <c r="L162">
        <v>9747.4</v>
      </c>
      <c r="M162" t="s">
        <v>170</v>
      </c>
      <c r="N162" t="b">
        <v>1</v>
      </c>
      <c r="O162">
        <v>0</v>
      </c>
    </row>
    <row r="163" spans="1:15" x14ac:dyDescent="0.35">
      <c r="A163" t="s">
        <v>542</v>
      </c>
      <c r="B163" t="s">
        <v>44</v>
      </c>
      <c r="C163" t="s">
        <v>45</v>
      </c>
      <c r="D163" t="s">
        <v>46</v>
      </c>
      <c r="E163" t="s">
        <v>165</v>
      </c>
      <c r="F163" t="s">
        <v>129</v>
      </c>
      <c r="G163" t="s">
        <v>101</v>
      </c>
      <c r="H163" t="s">
        <v>106</v>
      </c>
      <c r="I163" t="s">
        <v>465</v>
      </c>
      <c r="J163">
        <v>110</v>
      </c>
      <c r="K163">
        <v>31.92</v>
      </c>
      <c r="L163">
        <v>3511.2</v>
      </c>
      <c r="M163" t="s">
        <v>146</v>
      </c>
      <c r="N163" t="b">
        <v>1</v>
      </c>
      <c r="O163">
        <v>0</v>
      </c>
    </row>
    <row r="164" spans="1:15" x14ac:dyDescent="0.35">
      <c r="A164" t="s">
        <v>543</v>
      </c>
      <c r="B164" t="s">
        <v>24</v>
      </c>
      <c r="C164" t="s">
        <v>22</v>
      </c>
      <c r="D164" t="s">
        <v>25</v>
      </c>
      <c r="E164" t="s">
        <v>180</v>
      </c>
      <c r="F164" t="s">
        <v>127</v>
      </c>
      <c r="G164" t="s">
        <v>544</v>
      </c>
      <c r="H164" t="s">
        <v>545</v>
      </c>
      <c r="I164" t="s">
        <v>332</v>
      </c>
      <c r="J164">
        <v>132</v>
      </c>
      <c r="K164">
        <v>209</v>
      </c>
      <c r="L164">
        <v>27588</v>
      </c>
      <c r="M164" t="s">
        <v>146</v>
      </c>
      <c r="N164" t="b">
        <v>1</v>
      </c>
      <c r="O164">
        <v>0</v>
      </c>
    </row>
    <row r="165" spans="1:15" x14ac:dyDescent="0.35">
      <c r="A165" t="s">
        <v>546</v>
      </c>
      <c r="B165" t="s">
        <v>39</v>
      </c>
      <c r="C165" t="s">
        <v>37</v>
      </c>
      <c r="D165" t="s">
        <v>40</v>
      </c>
      <c r="E165" t="s">
        <v>143</v>
      </c>
      <c r="F165" t="s">
        <v>130</v>
      </c>
      <c r="G165" t="s">
        <v>509</v>
      </c>
      <c r="H165" t="s">
        <v>522</v>
      </c>
      <c r="I165" t="s">
        <v>82</v>
      </c>
      <c r="J165">
        <v>305</v>
      </c>
      <c r="K165">
        <v>187.25</v>
      </c>
      <c r="L165">
        <v>57111.25</v>
      </c>
      <c r="M165" t="s">
        <v>159</v>
      </c>
      <c r="N165" t="b">
        <v>0</v>
      </c>
      <c r="O165">
        <v>22</v>
      </c>
    </row>
    <row r="166" spans="1:15" x14ac:dyDescent="0.35">
      <c r="A166" t="s">
        <v>547</v>
      </c>
      <c r="B166" t="s">
        <v>49</v>
      </c>
      <c r="C166" t="s">
        <v>50</v>
      </c>
      <c r="D166" t="s">
        <v>33</v>
      </c>
      <c r="E166" t="s">
        <v>143</v>
      </c>
      <c r="F166" t="s">
        <v>127</v>
      </c>
      <c r="G166" t="s">
        <v>92</v>
      </c>
      <c r="H166" t="s">
        <v>105</v>
      </c>
      <c r="I166" t="s">
        <v>249</v>
      </c>
      <c r="J166">
        <v>78</v>
      </c>
      <c r="K166">
        <v>59.8</v>
      </c>
      <c r="L166">
        <v>4664.3999999999996</v>
      </c>
      <c r="M166" t="s">
        <v>170</v>
      </c>
      <c r="N166" t="b">
        <v>1</v>
      </c>
      <c r="O166">
        <v>0</v>
      </c>
    </row>
    <row r="167" spans="1:15" x14ac:dyDescent="0.35">
      <c r="A167" t="s">
        <v>548</v>
      </c>
      <c r="B167" t="s">
        <v>41</v>
      </c>
      <c r="C167" t="s">
        <v>42</v>
      </c>
      <c r="D167" t="s">
        <v>23</v>
      </c>
      <c r="E167" t="s">
        <v>143</v>
      </c>
      <c r="F167" t="s">
        <v>128</v>
      </c>
      <c r="G167" t="s">
        <v>467</v>
      </c>
      <c r="H167" t="s">
        <v>549</v>
      </c>
      <c r="I167" t="s">
        <v>550</v>
      </c>
      <c r="J167">
        <v>170</v>
      </c>
      <c r="K167">
        <v>397.7</v>
      </c>
      <c r="L167">
        <v>67609</v>
      </c>
      <c r="M167" t="s">
        <v>170</v>
      </c>
      <c r="N167" t="b">
        <v>1</v>
      </c>
      <c r="O167">
        <v>0</v>
      </c>
    </row>
    <row r="168" spans="1:15" x14ac:dyDescent="0.35">
      <c r="A168" t="s">
        <v>551</v>
      </c>
      <c r="B168" t="s">
        <v>51</v>
      </c>
      <c r="C168" t="s">
        <v>52</v>
      </c>
      <c r="D168" t="s">
        <v>53</v>
      </c>
      <c r="E168" t="s">
        <v>180</v>
      </c>
      <c r="F168" t="s">
        <v>128</v>
      </c>
      <c r="G168" t="s">
        <v>468</v>
      </c>
      <c r="H168" t="s">
        <v>549</v>
      </c>
      <c r="I168" t="s">
        <v>552</v>
      </c>
      <c r="J168">
        <v>42</v>
      </c>
      <c r="K168">
        <v>44.1</v>
      </c>
      <c r="L168">
        <v>1852.2</v>
      </c>
      <c r="M168" t="s">
        <v>195</v>
      </c>
      <c r="N168" t="b">
        <v>1</v>
      </c>
      <c r="O168">
        <v>0</v>
      </c>
    </row>
    <row r="169" spans="1:15" x14ac:dyDescent="0.35">
      <c r="A169" t="s">
        <v>553</v>
      </c>
      <c r="B169" t="s">
        <v>17</v>
      </c>
      <c r="C169" t="s">
        <v>14</v>
      </c>
      <c r="D169" t="s">
        <v>18</v>
      </c>
      <c r="E169" t="s">
        <v>183</v>
      </c>
      <c r="F169" t="s">
        <v>129</v>
      </c>
      <c r="G169" t="s">
        <v>554</v>
      </c>
      <c r="H169" t="s">
        <v>350</v>
      </c>
      <c r="I169" t="s">
        <v>313</v>
      </c>
      <c r="J169">
        <v>164</v>
      </c>
      <c r="K169">
        <v>513.6</v>
      </c>
      <c r="L169">
        <v>84230.399999999994</v>
      </c>
      <c r="M169" t="s">
        <v>195</v>
      </c>
      <c r="N169" t="b">
        <v>1</v>
      </c>
      <c r="O169">
        <v>0</v>
      </c>
    </row>
    <row r="170" spans="1:15" x14ac:dyDescent="0.35">
      <c r="A170" t="s">
        <v>555</v>
      </c>
      <c r="B170" t="s">
        <v>30</v>
      </c>
      <c r="C170" t="s">
        <v>27</v>
      </c>
      <c r="D170" t="s">
        <v>15</v>
      </c>
      <c r="E170" t="s">
        <v>180</v>
      </c>
      <c r="F170" t="s">
        <v>130</v>
      </c>
      <c r="G170" t="s">
        <v>440</v>
      </c>
      <c r="H170" t="s">
        <v>420</v>
      </c>
      <c r="I170" t="s">
        <v>487</v>
      </c>
      <c r="J170">
        <v>258</v>
      </c>
      <c r="K170">
        <v>102.6</v>
      </c>
      <c r="L170">
        <v>26470.799999999999</v>
      </c>
      <c r="M170" t="s">
        <v>159</v>
      </c>
      <c r="N170" t="b">
        <v>0</v>
      </c>
      <c r="O170">
        <v>26</v>
      </c>
    </row>
    <row r="171" spans="1:15" x14ac:dyDescent="0.35">
      <c r="A171" t="s">
        <v>556</v>
      </c>
      <c r="B171" t="s">
        <v>34</v>
      </c>
      <c r="C171" t="s">
        <v>32</v>
      </c>
      <c r="D171" t="s">
        <v>35</v>
      </c>
      <c r="E171" t="s">
        <v>165</v>
      </c>
      <c r="F171" t="s">
        <v>130</v>
      </c>
      <c r="G171" t="s">
        <v>102</v>
      </c>
      <c r="H171" t="s">
        <v>557</v>
      </c>
      <c r="I171" t="s">
        <v>557</v>
      </c>
      <c r="J171">
        <v>271</v>
      </c>
      <c r="K171">
        <v>824.5</v>
      </c>
      <c r="L171">
        <v>223439.5</v>
      </c>
      <c r="M171" t="s">
        <v>195</v>
      </c>
      <c r="N171" t="b">
        <v>1</v>
      </c>
      <c r="O171">
        <v>0</v>
      </c>
    </row>
    <row r="172" spans="1:15" x14ac:dyDescent="0.35">
      <c r="A172" t="s">
        <v>558</v>
      </c>
      <c r="B172" t="s">
        <v>36</v>
      </c>
      <c r="C172" t="s">
        <v>37</v>
      </c>
      <c r="D172" t="s">
        <v>38</v>
      </c>
      <c r="E172" t="s">
        <v>143</v>
      </c>
      <c r="F172" t="s">
        <v>128</v>
      </c>
      <c r="G172" t="s">
        <v>246</v>
      </c>
      <c r="H172" t="s">
        <v>261</v>
      </c>
      <c r="I172" t="s">
        <v>500</v>
      </c>
      <c r="J172">
        <v>158</v>
      </c>
      <c r="K172">
        <v>190.75</v>
      </c>
      <c r="L172">
        <v>30138.5</v>
      </c>
      <c r="M172" t="s">
        <v>146</v>
      </c>
      <c r="N172" t="b">
        <v>1</v>
      </c>
      <c r="O172">
        <v>0</v>
      </c>
    </row>
    <row r="173" spans="1:15" x14ac:dyDescent="0.35">
      <c r="A173" t="s">
        <v>559</v>
      </c>
      <c r="B173" t="s">
        <v>30</v>
      </c>
      <c r="C173" t="s">
        <v>27</v>
      </c>
      <c r="D173" t="s">
        <v>15</v>
      </c>
      <c r="E173" t="s">
        <v>143</v>
      </c>
      <c r="F173" t="s">
        <v>129</v>
      </c>
      <c r="G173" t="s">
        <v>62</v>
      </c>
      <c r="H173" t="s">
        <v>74</v>
      </c>
      <c r="I173" t="s">
        <v>536</v>
      </c>
      <c r="J173">
        <v>201</v>
      </c>
      <c r="K173">
        <v>102.6</v>
      </c>
      <c r="L173">
        <v>20622.599999999999</v>
      </c>
      <c r="M173" t="s">
        <v>170</v>
      </c>
      <c r="N173" t="b">
        <v>1</v>
      </c>
      <c r="O173">
        <v>0</v>
      </c>
    </row>
    <row r="174" spans="1:15" x14ac:dyDescent="0.35">
      <c r="A174" t="s">
        <v>560</v>
      </c>
      <c r="B174" t="s">
        <v>39</v>
      </c>
      <c r="C174" t="s">
        <v>37</v>
      </c>
      <c r="D174" t="s">
        <v>40</v>
      </c>
      <c r="E174" t="s">
        <v>165</v>
      </c>
      <c r="F174" t="s">
        <v>130</v>
      </c>
      <c r="G174" t="s">
        <v>561</v>
      </c>
      <c r="H174" t="s">
        <v>254</v>
      </c>
      <c r="I174" t="s">
        <v>339</v>
      </c>
      <c r="J174">
        <v>269</v>
      </c>
      <c r="K174">
        <v>187.25</v>
      </c>
      <c r="L174">
        <v>50370.25</v>
      </c>
      <c r="M174" t="s">
        <v>170</v>
      </c>
      <c r="N174" t="b">
        <v>1</v>
      </c>
      <c r="O174">
        <v>0</v>
      </c>
    </row>
    <row r="175" spans="1:15" x14ac:dyDescent="0.35">
      <c r="A175" t="s">
        <v>562</v>
      </c>
      <c r="B175" t="s">
        <v>24</v>
      </c>
      <c r="C175" t="s">
        <v>22</v>
      </c>
      <c r="D175" t="s">
        <v>25</v>
      </c>
      <c r="E175" t="s">
        <v>152</v>
      </c>
      <c r="F175" t="s">
        <v>127</v>
      </c>
      <c r="G175" t="s">
        <v>563</v>
      </c>
      <c r="H175" t="s">
        <v>155</v>
      </c>
      <c r="I175" t="s">
        <v>564</v>
      </c>
      <c r="J175">
        <v>305</v>
      </c>
      <c r="K175">
        <v>209</v>
      </c>
      <c r="L175">
        <v>63745</v>
      </c>
      <c r="M175" t="s">
        <v>170</v>
      </c>
      <c r="N175" t="b">
        <v>1</v>
      </c>
      <c r="O175">
        <v>0</v>
      </c>
    </row>
    <row r="176" spans="1:15" x14ac:dyDescent="0.35">
      <c r="A176" t="s">
        <v>565</v>
      </c>
      <c r="B176" t="s">
        <v>30</v>
      </c>
      <c r="C176" t="s">
        <v>27</v>
      </c>
      <c r="D176" t="s">
        <v>15</v>
      </c>
      <c r="E176" t="s">
        <v>152</v>
      </c>
      <c r="F176" t="s">
        <v>128</v>
      </c>
      <c r="G176" t="s">
        <v>104</v>
      </c>
      <c r="H176" t="s">
        <v>233</v>
      </c>
      <c r="I176" t="s">
        <v>324</v>
      </c>
      <c r="J176">
        <v>108</v>
      </c>
      <c r="K176">
        <v>102.6</v>
      </c>
      <c r="L176">
        <v>11080.8</v>
      </c>
      <c r="M176" t="s">
        <v>195</v>
      </c>
      <c r="N176" t="b">
        <v>1</v>
      </c>
      <c r="O176">
        <v>0</v>
      </c>
    </row>
    <row r="177" spans="1:15" x14ac:dyDescent="0.35">
      <c r="A177" t="s">
        <v>566</v>
      </c>
      <c r="B177" t="s">
        <v>17</v>
      </c>
      <c r="C177" t="s">
        <v>14</v>
      </c>
      <c r="D177" t="s">
        <v>18</v>
      </c>
      <c r="E177" t="s">
        <v>152</v>
      </c>
      <c r="F177" t="s">
        <v>130</v>
      </c>
      <c r="G177" t="s">
        <v>79</v>
      </c>
      <c r="H177" t="s">
        <v>89</v>
      </c>
      <c r="I177" t="s">
        <v>191</v>
      </c>
      <c r="J177">
        <v>345</v>
      </c>
      <c r="K177">
        <v>513.6</v>
      </c>
      <c r="L177">
        <v>177192</v>
      </c>
      <c r="M177" t="s">
        <v>146</v>
      </c>
      <c r="N177" t="b">
        <v>1</v>
      </c>
      <c r="O177">
        <v>0</v>
      </c>
    </row>
    <row r="178" spans="1:15" x14ac:dyDescent="0.35">
      <c r="A178" t="s">
        <v>567</v>
      </c>
      <c r="B178" t="s">
        <v>31</v>
      </c>
      <c r="C178" t="s">
        <v>32</v>
      </c>
      <c r="D178" t="s">
        <v>33</v>
      </c>
      <c r="E178" t="s">
        <v>183</v>
      </c>
      <c r="F178" t="s">
        <v>129</v>
      </c>
      <c r="G178" t="s">
        <v>272</v>
      </c>
      <c r="H178" t="s">
        <v>568</v>
      </c>
      <c r="I178" t="s">
        <v>421</v>
      </c>
      <c r="J178">
        <v>121</v>
      </c>
      <c r="K178">
        <v>816</v>
      </c>
      <c r="L178">
        <v>98736</v>
      </c>
      <c r="M178" t="s">
        <v>146</v>
      </c>
      <c r="N178" t="b">
        <v>1</v>
      </c>
      <c r="O178">
        <v>0</v>
      </c>
    </row>
    <row r="179" spans="1:15" x14ac:dyDescent="0.35">
      <c r="A179" t="s">
        <v>569</v>
      </c>
      <c r="B179" t="s">
        <v>26</v>
      </c>
      <c r="C179" t="s">
        <v>27</v>
      </c>
      <c r="D179" t="s">
        <v>28</v>
      </c>
      <c r="E179" t="s">
        <v>180</v>
      </c>
      <c r="F179" t="s">
        <v>128</v>
      </c>
      <c r="G179" t="s">
        <v>570</v>
      </c>
      <c r="H179" t="s">
        <v>376</v>
      </c>
      <c r="I179" t="s">
        <v>478</v>
      </c>
      <c r="J179">
        <v>341</v>
      </c>
      <c r="K179">
        <v>99.75</v>
      </c>
      <c r="L179">
        <v>34014.75</v>
      </c>
      <c r="M179" t="s">
        <v>159</v>
      </c>
      <c r="N179" t="b">
        <v>0</v>
      </c>
      <c r="O179">
        <v>21</v>
      </c>
    </row>
    <row r="180" spans="1:15" x14ac:dyDescent="0.35">
      <c r="A180" t="s">
        <v>571</v>
      </c>
      <c r="B180" t="s">
        <v>19</v>
      </c>
      <c r="C180" t="s">
        <v>14</v>
      </c>
      <c r="D180" t="s">
        <v>20</v>
      </c>
      <c r="E180" t="s">
        <v>183</v>
      </c>
      <c r="F180" t="s">
        <v>130</v>
      </c>
      <c r="G180" t="s">
        <v>275</v>
      </c>
      <c r="H180" t="s">
        <v>220</v>
      </c>
      <c r="I180" t="s">
        <v>572</v>
      </c>
      <c r="J180">
        <v>102</v>
      </c>
      <c r="K180">
        <v>441.6</v>
      </c>
      <c r="L180">
        <v>45043.199999999997</v>
      </c>
      <c r="M180" t="s">
        <v>146</v>
      </c>
      <c r="N180" t="b">
        <v>1</v>
      </c>
      <c r="O180">
        <v>0</v>
      </c>
    </row>
    <row r="181" spans="1:15" x14ac:dyDescent="0.35">
      <c r="A181" t="s">
        <v>573</v>
      </c>
      <c r="B181" t="s">
        <v>30</v>
      </c>
      <c r="C181" t="s">
        <v>27</v>
      </c>
      <c r="D181" t="s">
        <v>15</v>
      </c>
      <c r="E181" t="s">
        <v>180</v>
      </c>
      <c r="F181" t="s">
        <v>127</v>
      </c>
      <c r="G181" t="s">
        <v>574</v>
      </c>
      <c r="H181" t="s">
        <v>575</v>
      </c>
      <c r="I181" t="s">
        <v>81</v>
      </c>
      <c r="J181">
        <v>391</v>
      </c>
      <c r="K181">
        <v>102.6</v>
      </c>
      <c r="L181">
        <v>40116.6</v>
      </c>
      <c r="M181" t="s">
        <v>170</v>
      </c>
      <c r="N181" t="b">
        <v>1</v>
      </c>
      <c r="O181">
        <v>0</v>
      </c>
    </row>
    <row r="182" spans="1:15" x14ac:dyDescent="0.35">
      <c r="A182" t="s">
        <v>576</v>
      </c>
      <c r="B182" t="s">
        <v>41</v>
      </c>
      <c r="C182" t="s">
        <v>42</v>
      </c>
      <c r="D182" t="s">
        <v>23</v>
      </c>
      <c r="E182" t="s">
        <v>180</v>
      </c>
      <c r="F182" t="s">
        <v>127</v>
      </c>
      <c r="G182" t="s">
        <v>577</v>
      </c>
      <c r="H182" t="s">
        <v>332</v>
      </c>
      <c r="I182" t="s">
        <v>169</v>
      </c>
      <c r="J182">
        <v>136</v>
      </c>
      <c r="K182">
        <v>397.7</v>
      </c>
      <c r="L182">
        <v>54087.199999999997</v>
      </c>
      <c r="M182" t="s">
        <v>159</v>
      </c>
      <c r="N182" t="b">
        <v>0</v>
      </c>
      <c r="O182">
        <v>22</v>
      </c>
    </row>
    <row r="183" spans="1:15" x14ac:dyDescent="0.35">
      <c r="A183" t="s">
        <v>578</v>
      </c>
      <c r="B183" t="s">
        <v>49</v>
      </c>
      <c r="C183" t="s">
        <v>50</v>
      </c>
      <c r="D183" t="s">
        <v>33</v>
      </c>
      <c r="E183" t="s">
        <v>152</v>
      </c>
      <c r="F183" t="s">
        <v>129</v>
      </c>
      <c r="G183" t="s">
        <v>418</v>
      </c>
      <c r="H183" t="s">
        <v>579</v>
      </c>
      <c r="I183" t="s">
        <v>99</v>
      </c>
      <c r="J183">
        <v>215</v>
      </c>
      <c r="K183">
        <v>59.8</v>
      </c>
      <c r="L183">
        <v>12857</v>
      </c>
      <c r="M183" t="s">
        <v>170</v>
      </c>
      <c r="N183" t="b">
        <v>1</v>
      </c>
      <c r="O183">
        <v>0</v>
      </c>
    </row>
    <row r="184" spans="1:15" x14ac:dyDescent="0.35">
      <c r="A184" t="s">
        <v>580</v>
      </c>
      <c r="B184" t="s">
        <v>29</v>
      </c>
      <c r="C184" t="s">
        <v>27</v>
      </c>
      <c r="D184" t="s">
        <v>20</v>
      </c>
      <c r="E184" t="s">
        <v>183</v>
      </c>
      <c r="F184" t="s">
        <v>127</v>
      </c>
      <c r="G184" t="s">
        <v>381</v>
      </c>
      <c r="H184" t="s">
        <v>522</v>
      </c>
      <c r="I184" t="s">
        <v>388</v>
      </c>
      <c r="J184">
        <v>53</v>
      </c>
      <c r="K184">
        <v>90.25</v>
      </c>
      <c r="L184">
        <v>4783.25</v>
      </c>
      <c r="M184" t="s">
        <v>170</v>
      </c>
      <c r="N184" t="b">
        <v>1</v>
      </c>
      <c r="O184">
        <v>0</v>
      </c>
    </row>
    <row r="185" spans="1:15" x14ac:dyDescent="0.35">
      <c r="A185" t="s">
        <v>581</v>
      </c>
      <c r="B185" t="s">
        <v>51</v>
      </c>
      <c r="C185" t="s">
        <v>52</v>
      </c>
      <c r="D185" t="s">
        <v>53</v>
      </c>
      <c r="E185" t="s">
        <v>143</v>
      </c>
      <c r="F185" t="s">
        <v>130</v>
      </c>
      <c r="G185" t="s">
        <v>582</v>
      </c>
      <c r="H185" t="s">
        <v>583</v>
      </c>
      <c r="I185" t="s">
        <v>264</v>
      </c>
      <c r="J185">
        <v>153</v>
      </c>
      <c r="K185">
        <v>44.1</v>
      </c>
      <c r="L185">
        <v>6747.3</v>
      </c>
      <c r="M185" t="s">
        <v>170</v>
      </c>
      <c r="N185" t="b">
        <v>1</v>
      </c>
      <c r="O185">
        <v>0</v>
      </c>
    </row>
    <row r="186" spans="1:15" x14ac:dyDescent="0.35">
      <c r="A186" t="s">
        <v>584</v>
      </c>
      <c r="B186" t="s">
        <v>29</v>
      </c>
      <c r="C186" t="s">
        <v>27</v>
      </c>
      <c r="D186" t="s">
        <v>20</v>
      </c>
      <c r="E186" t="s">
        <v>143</v>
      </c>
      <c r="F186" t="s">
        <v>127</v>
      </c>
      <c r="G186" t="s">
        <v>401</v>
      </c>
      <c r="H186" t="s">
        <v>433</v>
      </c>
      <c r="I186" t="s">
        <v>467</v>
      </c>
      <c r="J186">
        <v>151</v>
      </c>
      <c r="K186">
        <v>90.25</v>
      </c>
      <c r="L186">
        <v>13627.75</v>
      </c>
      <c r="M186" t="s">
        <v>195</v>
      </c>
      <c r="N186" t="b">
        <v>1</v>
      </c>
      <c r="O186">
        <v>0</v>
      </c>
    </row>
    <row r="187" spans="1:15" x14ac:dyDescent="0.35">
      <c r="A187" t="s">
        <v>585</v>
      </c>
      <c r="B187" t="s">
        <v>31</v>
      </c>
      <c r="C187" t="s">
        <v>32</v>
      </c>
      <c r="D187" t="s">
        <v>33</v>
      </c>
      <c r="E187" t="s">
        <v>180</v>
      </c>
      <c r="F187" t="s">
        <v>127</v>
      </c>
      <c r="G187" t="s">
        <v>586</v>
      </c>
      <c r="H187" t="s">
        <v>297</v>
      </c>
      <c r="I187" t="s">
        <v>111</v>
      </c>
      <c r="J187">
        <v>291</v>
      </c>
      <c r="K187">
        <v>816</v>
      </c>
      <c r="L187">
        <v>237456</v>
      </c>
      <c r="M187" t="s">
        <v>195</v>
      </c>
      <c r="N187" t="b">
        <v>1</v>
      </c>
      <c r="O187">
        <v>0</v>
      </c>
    </row>
    <row r="188" spans="1:15" x14ac:dyDescent="0.35">
      <c r="A188" t="s">
        <v>587</v>
      </c>
      <c r="B188" t="s">
        <v>54</v>
      </c>
      <c r="C188" t="s">
        <v>52</v>
      </c>
      <c r="D188" t="s">
        <v>55</v>
      </c>
      <c r="E188" t="s">
        <v>152</v>
      </c>
      <c r="F188" t="s">
        <v>128</v>
      </c>
      <c r="G188" t="s">
        <v>467</v>
      </c>
      <c r="H188" t="s">
        <v>163</v>
      </c>
      <c r="I188" t="s">
        <v>588</v>
      </c>
      <c r="J188">
        <v>190</v>
      </c>
      <c r="K188">
        <v>45.36</v>
      </c>
      <c r="L188">
        <v>8618.4</v>
      </c>
      <c r="M188" t="s">
        <v>146</v>
      </c>
      <c r="N188" t="b">
        <v>1</v>
      </c>
      <c r="O188">
        <v>0</v>
      </c>
    </row>
    <row r="189" spans="1:15" x14ac:dyDescent="0.35">
      <c r="A189" t="s">
        <v>589</v>
      </c>
      <c r="B189" t="s">
        <v>41</v>
      </c>
      <c r="C189" t="s">
        <v>42</v>
      </c>
      <c r="D189" t="s">
        <v>23</v>
      </c>
      <c r="E189" t="s">
        <v>165</v>
      </c>
      <c r="F189" t="s">
        <v>127</v>
      </c>
      <c r="G189" t="s">
        <v>101</v>
      </c>
      <c r="H189" t="s">
        <v>590</v>
      </c>
      <c r="I189" t="s">
        <v>591</v>
      </c>
      <c r="J189">
        <v>351</v>
      </c>
      <c r="K189">
        <v>397.7</v>
      </c>
      <c r="L189">
        <v>139592.70000000001</v>
      </c>
      <c r="M189" t="s">
        <v>159</v>
      </c>
      <c r="N189" t="b">
        <v>0</v>
      </c>
      <c r="O189">
        <v>22</v>
      </c>
    </row>
    <row r="190" spans="1:15" x14ac:dyDescent="0.35">
      <c r="A190" t="s">
        <v>592</v>
      </c>
      <c r="B190" t="s">
        <v>13</v>
      </c>
      <c r="C190" t="s">
        <v>14</v>
      </c>
      <c r="D190" t="s">
        <v>15</v>
      </c>
      <c r="E190" t="s">
        <v>180</v>
      </c>
      <c r="F190" t="s">
        <v>129</v>
      </c>
      <c r="G190" t="s">
        <v>200</v>
      </c>
      <c r="H190" t="s">
        <v>148</v>
      </c>
      <c r="I190" t="s">
        <v>101</v>
      </c>
      <c r="J190">
        <v>136</v>
      </c>
      <c r="K190">
        <v>446.4</v>
      </c>
      <c r="L190">
        <v>60710.400000000001</v>
      </c>
      <c r="M190" t="s">
        <v>146</v>
      </c>
      <c r="N190" t="b">
        <v>1</v>
      </c>
      <c r="O190">
        <v>0</v>
      </c>
    </row>
    <row r="191" spans="1:15" x14ac:dyDescent="0.35">
      <c r="A191" t="s">
        <v>593</v>
      </c>
      <c r="B191" t="s">
        <v>11</v>
      </c>
      <c r="C191" t="s">
        <v>8</v>
      </c>
      <c r="D191" t="s">
        <v>12</v>
      </c>
      <c r="E191" t="s">
        <v>152</v>
      </c>
      <c r="F191" t="s">
        <v>128</v>
      </c>
      <c r="G191" t="s">
        <v>594</v>
      </c>
      <c r="H191" t="s">
        <v>150</v>
      </c>
      <c r="I191" t="s">
        <v>595</v>
      </c>
      <c r="J191">
        <v>324</v>
      </c>
      <c r="K191">
        <v>3104</v>
      </c>
      <c r="L191">
        <v>1005696</v>
      </c>
      <c r="M191" t="s">
        <v>159</v>
      </c>
      <c r="N191" t="b">
        <v>0</v>
      </c>
      <c r="O191">
        <v>15</v>
      </c>
    </row>
    <row r="192" spans="1:15" x14ac:dyDescent="0.35">
      <c r="A192" t="s">
        <v>596</v>
      </c>
      <c r="B192" t="s">
        <v>11</v>
      </c>
      <c r="C192" t="s">
        <v>8</v>
      </c>
      <c r="D192" t="s">
        <v>12</v>
      </c>
      <c r="E192" t="s">
        <v>152</v>
      </c>
      <c r="F192" t="s">
        <v>127</v>
      </c>
      <c r="G192" t="s">
        <v>414</v>
      </c>
      <c r="H192" t="s">
        <v>237</v>
      </c>
      <c r="I192" t="s">
        <v>202</v>
      </c>
      <c r="J192">
        <v>322</v>
      </c>
      <c r="K192">
        <v>3104</v>
      </c>
      <c r="L192">
        <v>999488</v>
      </c>
      <c r="M192" t="s">
        <v>159</v>
      </c>
      <c r="N192" t="b">
        <v>0</v>
      </c>
      <c r="O192">
        <v>8</v>
      </c>
    </row>
    <row r="193" spans="1:15" x14ac:dyDescent="0.35">
      <c r="A193" t="s">
        <v>597</v>
      </c>
      <c r="B193" t="s">
        <v>29</v>
      </c>
      <c r="C193" t="s">
        <v>27</v>
      </c>
      <c r="D193" t="s">
        <v>20</v>
      </c>
      <c r="E193" t="s">
        <v>165</v>
      </c>
      <c r="F193" t="s">
        <v>130</v>
      </c>
      <c r="G193" t="s">
        <v>240</v>
      </c>
      <c r="H193" t="s">
        <v>563</v>
      </c>
      <c r="I193" t="s">
        <v>436</v>
      </c>
      <c r="J193">
        <v>152</v>
      </c>
      <c r="K193">
        <v>90.25</v>
      </c>
      <c r="L193">
        <v>13718</v>
      </c>
      <c r="M193" t="s">
        <v>146</v>
      </c>
      <c r="N193" t="b">
        <v>1</v>
      </c>
      <c r="O193">
        <v>0</v>
      </c>
    </row>
    <row r="194" spans="1:15" x14ac:dyDescent="0.35">
      <c r="A194" t="s">
        <v>598</v>
      </c>
      <c r="B194" t="s">
        <v>31</v>
      </c>
      <c r="C194" t="s">
        <v>32</v>
      </c>
      <c r="D194" t="s">
        <v>33</v>
      </c>
      <c r="E194" t="s">
        <v>143</v>
      </c>
      <c r="F194" t="s">
        <v>130</v>
      </c>
      <c r="G194" t="s">
        <v>333</v>
      </c>
      <c r="H194" t="s">
        <v>582</v>
      </c>
      <c r="I194" t="s">
        <v>500</v>
      </c>
      <c r="J194">
        <v>55</v>
      </c>
      <c r="K194">
        <v>816</v>
      </c>
      <c r="L194">
        <v>44880</v>
      </c>
      <c r="M194" t="s">
        <v>146</v>
      </c>
      <c r="N194" t="b">
        <v>1</v>
      </c>
      <c r="O194">
        <v>0</v>
      </c>
    </row>
    <row r="195" spans="1:15" x14ac:dyDescent="0.35">
      <c r="A195" t="s">
        <v>599</v>
      </c>
      <c r="B195" t="s">
        <v>34</v>
      </c>
      <c r="C195" t="s">
        <v>32</v>
      </c>
      <c r="D195" t="s">
        <v>35</v>
      </c>
      <c r="E195" t="s">
        <v>180</v>
      </c>
      <c r="F195" t="s">
        <v>129</v>
      </c>
      <c r="G195" t="s">
        <v>312</v>
      </c>
      <c r="H195" t="s">
        <v>453</v>
      </c>
      <c r="I195" t="s">
        <v>600</v>
      </c>
      <c r="J195">
        <v>274</v>
      </c>
      <c r="K195">
        <v>824.5</v>
      </c>
      <c r="L195">
        <v>225913</v>
      </c>
      <c r="M195" t="s">
        <v>146</v>
      </c>
      <c r="N195" t="b">
        <v>1</v>
      </c>
      <c r="O195">
        <v>0</v>
      </c>
    </row>
    <row r="196" spans="1:15" x14ac:dyDescent="0.35">
      <c r="A196" t="s">
        <v>601</v>
      </c>
      <c r="B196" t="s">
        <v>31</v>
      </c>
      <c r="C196" t="s">
        <v>32</v>
      </c>
      <c r="D196" t="s">
        <v>33</v>
      </c>
      <c r="E196" t="s">
        <v>165</v>
      </c>
      <c r="F196" t="s">
        <v>129</v>
      </c>
      <c r="G196" t="s">
        <v>205</v>
      </c>
      <c r="H196" t="s">
        <v>261</v>
      </c>
      <c r="I196" t="s">
        <v>158</v>
      </c>
      <c r="J196">
        <v>400</v>
      </c>
      <c r="K196">
        <v>816</v>
      </c>
      <c r="L196">
        <v>326400</v>
      </c>
      <c r="M196" t="s">
        <v>146</v>
      </c>
      <c r="N196" t="b">
        <v>1</v>
      </c>
      <c r="O196">
        <v>0</v>
      </c>
    </row>
    <row r="197" spans="1:15" x14ac:dyDescent="0.35">
      <c r="A197" t="s">
        <v>602</v>
      </c>
      <c r="B197" t="s">
        <v>30</v>
      </c>
      <c r="C197" t="s">
        <v>27</v>
      </c>
      <c r="D197" t="s">
        <v>15</v>
      </c>
      <c r="E197" t="s">
        <v>152</v>
      </c>
      <c r="F197" t="s">
        <v>127</v>
      </c>
      <c r="G197" t="s">
        <v>191</v>
      </c>
      <c r="H197" t="s">
        <v>464</v>
      </c>
      <c r="I197" t="s">
        <v>100</v>
      </c>
      <c r="J197">
        <v>45</v>
      </c>
      <c r="K197">
        <v>102.6</v>
      </c>
      <c r="L197">
        <v>4617</v>
      </c>
      <c r="M197" t="s">
        <v>170</v>
      </c>
      <c r="N197" t="b">
        <v>1</v>
      </c>
      <c r="O197">
        <v>0</v>
      </c>
    </row>
    <row r="198" spans="1:15" x14ac:dyDescent="0.35">
      <c r="A198" t="s">
        <v>603</v>
      </c>
      <c r="B198" t="s">
        <v>34</v>
      </c>
      <c r="C198" t="s">
        <v>32</v>
      </c>
      <c r="D198" t="s">
        <v>35</v>
      </c>
      <c r="E198" t="s">
        <v>165</v>
      </c>
      <c r="F198" t="s">
        <v>130</v>
      </c>
      <c r="G198" t="s">
        <v>177</v>
      </c>
      <c r="H198" t="s">
        <v>263</v>
      </c>
      <c r="I198" t="s">
        <v>323</v>
      </c>
      <c r="J198">
        <v>122</v>
      </c>
      <c r="K198">
        <v>824.5</v>
      </c>
      <c r="L198">
        <v>100589</v>
      </c>
      <c r="M198" t="s">
        <v>195</v>
      </c>
      <c r="N198" t="b">
        <v>1</v>
      </c>
      <c r="O198">
        <v>0</v>
      </c>
    </row>
    <row r="199" spans="1:15" x14ac:dyDescent="0.35">
      <c r="A199" t="s">
        <v>604</v>
      </c>
      <c r="B199" t="s">
        <v>47</v>
      </c>
      <c r="C199" t="s">
        <v>45</v>
      </c>
      <c r="D199" t="s">
        <v>48</v>
      </c>
      <c r="E199" t="s">
        <v>165</v>
      </c>
      <c r="F199" t="s">
        <v>128</v>
      </c>
      <c r="G199" t="s">
        <v>447</v>
      </c>
      <c r="H199" t="s">
        <v>320</v>
      </c>
      <c r="I199" t="s">
        <v>390</v>
      </c>
      <c r="J199">
        <v>165</v>
      </c>
      <c r="K199">
        <v>26.04</v>
      </c>
      <c r="L199">
        <v>4296.6000000000004</v>
      </c>
      <c r="M199" t="s">
        <v>195</v>
      </c>
      <c r="N199" t="b">
        <v>1</v>
      </c>
      <c r="O199">
        <v>0</v>
      </c>
    </row>
    <row r="200" spans="1:15" x14ac:dyDescent="0.35">
      <c r="A200" t="s">
        <v>605</v>
      </c>
      <c r="B200" t="s">
        <v>39</v>
      </c>
      <c r="C200" t="s">
        <v>37</v>
      </c>
      <c r="D200" t="s">
        <v>40</v>
      </c>
      <c r="E200" t="s">
        <v>143</v>
      </c>
      <c r="F200" t="s">
        <v>128</v>
      </c>
      <c r="G200" t="s">
        <v>193</v>
      </c>
      <c r="H200" t="s">
        <v>583</v>
      </c>
      <c r="I200" t="s">
        <v>113</v>
      </c>
      <c r="J200">
        <v>159</v>
      </c>
      <c r="K200">
        <v>187.25</v>
      </c>
      <c r="L200">
        <v>29772.75</v>
      </c>
      <c r="M200" t="s">
        <v>159</v>
      </c>
      <c r="N200" t="b">
        <v>0</v>
      </c>
      <c r="O200">
        <v>16</v>
      </c>
    </row>
    <row r="201" spans="1:15" x14ac:dyDescent="0.35">
      <c r="A201" t="s">
        <v>606</v>
      </c>
      <c r="B201" t="s">
        <v>29</v>
      </c>
      <c r="C201" t="s">
        <v>27</v>
      </c>
      <c r="D201" t="s">
        <v>20</v>
      </c>
      <c r="E201" t="s">
        <v>152</v>
      </c>
      <c r="F201" t="s">
        <v>129</v>
      </c>
      <c r="G201" t="s">
        <v>62</v>
      </c>
      <c r="H201" t="s">
        <v>73</v>
      </c>
      <c r="I201" t="s">
        <v>607</v>
      </c>
      <c r="J201">
        <v>219</v>
      </c>
      <c r="K201">
        <v>90.25</v>
      </c>
      <c r="L201">
        <v>19764.75</v>
      </c>
      <c r="M201" t="s">
        <v>195</v>
      </c>
      <c r="N201" t="b">
        <v>1</v>
      </c>
      <c r="O201">
        <v>0</v>
      </c>
    </row>
    <row r="202" spans="1:15" x14ac:dyDescent="0.35">
      <c r="A202" t="s">
        <v>608</v>
      </c>
      <c r="B202" t="s">
        <v>24</v>
      </c>
      <c r="C202" t="s">
        <v>22</v>
      </c>
      <c r="D202" t="s">
        <v>25</v>
      </c>
      <c r="E202" t="s">
        <v>143</v>
      </c>
      <c r="F202" t="s">
        <v>128</v>
      </c>
      <c r="G202" t="s">
        <v>342</v>
      </c>
      <c r="H202" t="s">
        <v>609</v>
      </c>
      <c r="I202" t="s">
        <v>588</v>
      </c>
      <c r="J202">
        <v>189</v>
      </c>
      <c r="K202">
        <v>209</v>
      </c>
      <c r="L202">
        <v>39501</v>
      </c>
      <c r="M202" t="s">
        <v>195</v>
      </c>
      <c r="N202" t="b">
        <v>1</v>
      </c>
      <c r="O202">
        <v>0</v>
      </c>
    </row>
    <row r="203" spans="1:15" x14ac:dyDescent="0.35">
      <c r="A203" t="s">
        <v>610</v>
      </c>
      <c r="B203" t="s">
        <v>26</v>
      </c>
      <c r="C203" t="s">
        <v>27</v>
      </c>
      <c r="D203" t="s">
        <v>28</v>
      </c>
      <c r="E203" t="s">
        <v>165</v>
      </c>
      <c r="F203" t="s">
        <v>127</v>
      </c>
      <c r="G203" t="s">
        <v>611</v>
      </c>
      <c r="H203" t="s">
        <v>181</v>
      </c>
      <c r="I203" t="s">
        <v>102</v>
      </c>
      <c r="J203">
        <v>279</v>
      </c>
      <c r="K203">
        <v>99.75</v>
      </c>
      <c r="L203">
        <v>27830.25</v>
      </c>
      <c r="M203" t="s">
        <v>195</v>
      </c>
      <c r="N203" t="b">
        <v>1</v>
      </c>
      <c r="O203">
        <v>0</v>
      </c>
    </row>
    <row r="204" spans="1:15" x14ac:dyDescent="0.35">
      <c r="A204" t="s">
        <v>612</v>
      </c>
      <c r="B204" t="s">
        <v>13</v>
      </c>
      <c r="C204" t="s">
        <v>14</v>
      </c>
      <c r="D204" t="s">
        <v>15</v>
      </c>
      <c r="E204" t="s">
        <v>165</v>
      </c>
      <c r="F204" t="s">
        <v>128</v>
      </c>
      <c r="G204" t="s">
        <v>613</v>
      </c>
      <c r="H204" t="s">
        <v>505</v>
      </c>
      <c r="I204" t="s">
        <v>246</v>
      </c>
      <c r="J204">
        <v>189</v>
      </c>
      <c r="K204">
        <v>446.4</v>
      </c>
      <c r="L204">
        <v>84369.600000000006</v>
      </c>
      <c r="M204" t="s">
        <v>146</v>
      </c>
      <c r="N204" t="b">
        <v>1</v>
      </c>
      <c r="O204">
        <v>0</v>
      </c>
    </row>
    <row r="205" spans="1:15" x14ac:dyDescent="0.35">
      <c r="A205" t="s">
        <v>614</v>
      </c>
      <c r="B205" t="s">
        <v>11</v>
      </c>
      <c r="C205" t="s">
        <v>8</v>
      </c>
      <c r="D205" t="s">
        <v>12</v>
      </c>
      <c r="E205" t="s">
        <v>165</v>
      </c>
      <c r="F205" t="s">
        <v>127</v>
      </c>
      <c r="G205" t="s">
        <v>366</v>
      </c>
      <c r="H205" t="s">
        <v>382</v>
      </c>
      <c r="I205" t="s">
        <v>447</v>
      </c>
      <c r="J205">
        <v>116</v>
      </c>
      <c r="K205">
        <v>3104</v>
      </c>
      <c r="L205">
        <v>360064</v>
      </c>
      <c r="M205" t="s">
        <v>159</v>
      </c>
      <c r="N205" t="b">
        <v>0</v>
      </c>
      <c r="O205">
        <v>11</v>
      </c>
    </row>
    <row r="206" spans="1:15" x14ac:dyDescent="0.35">
      <c r="A206" t="s">
        <v>615</v>
      </c>
      <c r="B206" t="s">
        <v>49</v>
      </c>
      <c r="C206" t="s">
        <v>50</v>
      </c>
      <c r="D206" t="s">
        <v>33</v>
      </c>
      <c r="E206" t="s">
        <v>180</v>
      </c>
      <c r="F206" t="s">
        <v>127</v>
      </c>
      <c r="G206" t="s">
        <v>616</v>
      </c>
      <c r="H206" t="s">
        <v>436</v>
      </c>
      <c r="I206" t="s">
        <v>375</v>
      </c>
      <c r="J206">
        <v>41</v>
      </c>
      <c r="K206">
        <v>59.8</v>
      </c>
      <c r="L206">
        <v>2451.8000000000002</v>
      </c>
      <c r="M206" t="s">
        <v>195</v>
      </c>
      <c r="N206" t="b">
        <v>1</v>
      </c>
      <c r="O206">
        <v>0</v>
      </c>
    </row>
    <row r="207" spans="1:15" x14ac:dyDescent="0.35">
      <c r="A207" t="s">
        <v>617</v>
      </c>
      <c r="B207" t="s">
        <v>19</v>
      </c>
      <c r="C207" t="s">
        <v>14</v>
      </c>
      <c r="D207" t="s">
        <v>20</v>
      </c>
      <c r="E207" t="s">
        <v>152</v>
      </c>
      <c r="F207" t="s">
        <v>130</v>
      </c>
      <c r="G207" t="s">
        <v>468</v>
      </c>
      <c r="H207" t="s">
        <v>618</v>
      </c>
      <c r="I207" t="s">
        <v>619</v>
      </c>
      <c r="J207">
        <v>156</v>
      </c>
      <c r="K207">
        <v>441.6</v>
      </c>
      <c r="L207">
        <v>68889.600000000006</v>
      </c>
      <c r="M207" t="s">
        <v>146</v>
      </c>
      <c r="N207" t="b">
        <v>1</v>
      </c>
      <c r="O207">
        <v>0</v>
      </c>
    </row>
    <row r="208" spans="1:15" x14ac:dyDescent="0.35">
      <c r="A208" t="s">
        <v>620</v>
      </c>
      <c r="B208" t="s">
        <v>47</v>
      </c>
      <c r="C208" t="s">
        <v>45</v>
      </c>
      <c r="D208" t="s">
        <v>48</v>
      </c>
      <c r="E208" t="s">
        <v>180</v>
      </c>
      <c r="F208" t="s">
        <v>129</v>
      </c>
      <c r="G208" t="s">
        <v>621</v>
      </c>
      <c r="H208" t="s">
        <v>335</v>
      </c>
      <c r="I208" t="s">
        <v>76</v>
      </c>
      <c r="J208">
        <v>360</v>
      </c>
      <c r="K208">
        <v>26.04</v>
      </c>
      <c r="L208">
        <v>9374.4</v>
      </c>
      <c r="M208" t="s">
        <v>159</v>
      </c>
      <c r="N208" t="b">
        <v>0</v>
      </c>
      <c r="O208">
        <v>13</v>
      </c>
    </row>
    <row r="209" spans="1:15" x14ac:dyDescent="0.35">
      <c r="A209" t="s">
        <v>622</v>
      </c>
      <c r="B209" t="s">
        <v>11</v>
      </c>
      <c r="C209" t="s">
        <v>8</v>
      </c>
      <c r="D209" t="s">
        <v>12</v>
      </c>
      <c r="E209" t="s">
        <v>143</v>
      </c>
      <c r="F209" t="s">
        <v>130</v>
      </c>
      <c r="G209" t="s">
        <v>478</v>
      </c>
      <c r="H209" t="s">
        <v>623</v>
      </c>
      <c r="I209" t="s">
        <v>618</v>
      </c>
      <c r="J209">
        <v>209</v>
      </c>
      <c r="K209">
        <v>3104</v>
      </c>
      <c r="L209">
        <v>648736</v>
      </c>
      <c r="M209" t="s">
        <v>195</v>
      </c>
      <c r="N209" t="b">
        <v>1</v>
      </c>
      <c r="O209">
        <v>0</v>
      </c>
    </row>
    <row r="210" spans="1:15" x14ac:dyDescent="0.35">
      <c r="A210" t="s">
        <v>624</v>
      </c>
      <c r="B210" t="s">
        <v>21</v>
      </c>
      <c r="C210" t="s">
        <v>22</v>
      </c>
      <c r="D210" t="s">
        <v>23</v>
      </c>
      <c r="E210" t="s">
        <v>183</v>
      </c>
      <c r="F210" t="s">
        <v>130</v>
      </c>
      <c r="G210" t="s">
        <v>475</v>
      </c>
      <c r="H210" t="s">
        <v>348</v>
      </c>
      <c r="I210" t="s">
        <v>78</v>
      </c>
      <c r="J210">
        <v>295</v>
      </c>
      <c r="K210">
        <v>200.2</v>
      </c>
      <c r="L210">
        <v>59059</v>
      </c>
      <c r="M210" t="s">
        <v>146</v>
      </c>
      <c r="N210" t="b">
        <v>1</v>
      </c>
      <c r="O210">
        <v>0</v>
      </c>
    </row>
    <row r="211" spans="1:15" x14ac:dyDescent="0.35">
      <c r="A211" t="s">
        <v>625</v>
      </c>
      <c r="B211" t="s">
        <v>11</v>
      </c>
      <c r="C211" t="s">
        <v>8</v>
      </c>
      <c r="D211" t="s">
        <v>12</v>
      </c>
      <c r="E211" t="s">
        <v>183</v>
      </c>
      <c r="F211" t="s">
        <v>127</v>
      </c>
      <c r="G211" t="s">
        <v>626</v>
      </c>
      <c r="H211" t="s">
        <v>332</v>
      </c>
      <c r="I211" t="s">
        <v>88</v>
      </c>
      <c r="J211">
        <v>74</v>
      </c>
      <c r="K211">
        <v>3104</v>
      </c>
      <c r="L211">
        <v>229696</v>
      </c>
      <c r="M211" t="s">
        <v>146</v>
      </c>
      <c r="N211" t="b">
        <v>1</v>
      </c>
      <c r="O211">
        <v>0</v>
      </c>
    </row>
    <row r="212" spans="1:15" x14ac:dyDescent="0.35">
      <c r="A212" t="s">
        <v>627</v>
      </c>
      <c r="B212" t="s">
        <v>24</v>
      </c>
      <c r="C212" t="s">
        <v>22</v>
      </c>
      <c r="D212" t="s">
        <v>25</v>
      </c>
      <c r="E212" t="s">
        <v>165</v>
      </c>
      <c r="F212" t="s">
        <v>128</v>
      </c>
      <c r="G212" t="s">
        <v>433</v>
      </c>
      <c r="H212" t="s">
        <v>184</v>
      </c>
      <c r="I212" t="s">
        <v>216</v>
      </c>
      <c r="J212">
        <v>361</v>
      </c>
      <c r="K212">
        <v>209</v>
      </c>
      <c r="L212">
        <v>75449</v>
      </c>
      <c r="M212" t="s">
        <v>146</v>
      </c>
      <c r="N212" t="b">
        <v>1</v>
      </c>
      <c r="O212">
        <v>0</v>
      </c>
    </row>
    <row r="213" spans="1:15" x14ac:dyDescent="0.35">
      <c r="A213" t="s">
        <v>628</v>
      </c>
      <c r="B213" t="s">
        <v>34</v>
      </c>
      <c r="C213" t="s">
        <v>32</v>
      </c>
      <c r="D213" t="s">
        <v>35</v>
      </c>
      <c r="E213" t="s">
        <v>165</v>
      </c>
      <c r="F213" t="s">
        <v>128</v>
      </c>
      <c r="G213" t="s">
        <v>224</v>
      </c>
      <c r="H213" t="s">
        <v>629</v>
      </c>
      <c r="I213" t="s">
        <v>630</v>
      </c>
      <c r="J213">
        <v>351</v>
      </c>
      <c r="K213">
        <v>824.5</v>
      </c>
      <c r="L213">
        <v>289399.5</v>
      </c>
      <c r="M213" t="s">
        <v>195</v>
      </c>
      <c r="N213" t="b">
        <v>1</v>
      </c>
      <c r="O213">
        <v>0</v>
      </c>
    </row>
    <row r="214" spans="1:15" x14ac:dyDescent="0.35">
      <c r="A214" t="s">
        <v>631</v>
      </c>
      <c r="B214" t="s">
        <v>49</v>
      </c>
      <c r="C214" t="s">
        <v>50</v>
      </c>
      <c r="D214" t="s">
        <v>33</v>
      </c>
      <c r="E214" t="s">
        <v>152</v>
      </c>
      <c r="F214" t="s">
        <v>129</v>
      </c>
      <c r="G214" t="s">
        <v>376</v>
      </c>
      <c r="H214" t="s">
        <v>456</v>
      </c>
      <c r="I214" t="s">
        <v>353</v>
      </c>
      <c r="J214">
        <v>117</v>
      </c>
      <c r="K214">
        <v>59.8</v>
      </c>
      <c r="L214">
        <v>6996.6</v>
      </c>
      <c r="M214" t="s">
        <v>195</v>
      </c>
      <c r="N214" t="b">
        <v>1</v>
      </c>
      <c r="O214">
        <v>0</v>
      </c>
    </row>
    <row r="215" spans="1:15" x14ac:dyDescent="0.35">
      <c r="A215" t="s">
        <v>632</v>
      </c>
      <c r="B215" t="s">
        <v>30</v>
      </c>
      <c r="C215" t="s">
        <v>27</v>
      </c>
      <c r="D215" t="s">
        <v>15</v>
      </c>
      <c r="E215" t="s">
        <v>165</v>
      </c>
      <c r="F215" t="s">
        <v>130</v>
      </c>
      <c r="G215" t="s">
        <v>332</v>
      </c>
      <c r="H215" t="s">
        <v>197</v>
      </c>
      <c r="I215" t="s">
        <v>99</v>
      </c>
      <c r="J215">
        <v>332</v>
      </c>
      <c r="K215">
        <v>102.6</v>
      </c>
      <c r="L215">
        <v>34063.199999999997</v>
      </c>
      <c r="M215" t="s">
        <v>170</v>
      </c>
      <c r="N215" t="b">
        <v>1</v>
      </c>
      <c r="O215">
        <v>0</v>
      </c>
    </row>
    <row r="216" spans="1:15" x14ac:dyDescent="0.35">
      <c r="A216" t="s">
        <v>633</v>
      </c>
      <c r="B216" t="s">
        <v>13</v>
      </c>
      <c r="C216" t="s">
        <v>14</v>
      </c>
      <c r="D216" t="s">
        <v>15</v>
      </c>
      <c r="E216" t="s">
        <v>183</v>
      </c>
      <c r="F216" t="s">
        <v>129</v>
      </c>
      <c r="G216" t="s">
        <v>486</v>
      </c>
      <c r="H216" t="s">
        <v>634</v>
      </c>
      <c r="I216" t="s">
        <v>634</v>
      </c>
      <c r="J216">
        <v>215</v>
      </c>
      <c r="K216">
        <v>446.4</v>
      </c>
      <c r="L216">
        <v>95976</v>
      </c>
      <c r="M216" t="s">
        <v>170</v>
      </c>
      <c r="N216" t="b">
        <v>1</v>
      </c>
      <c r="O216">
        <v>0</v>
      </c>
    </row>
    <row r="217" spans="1:15" x14ac:dyDescent="0.35">
      <c r="A217" t="s">
        <v>635</v>
      </c>
      <c r="B217" t="s">
        <v>49</v>
      </c>
      <c r="C217" t="s">
        <v>50</v>
      </c>
      <c r="D217" t="s">
        <v>33</v>
      </c>
      <c r="E217" t="s">
        <v>183</v>
      </c>
      <c r="F217" t="s">
        <v>130</v>
      </c>
      <c r="G217" t="s">
        <v>413</v>
      </c>
      <c r="H217" t="s">
        <v>431</v>
      </c>
      <c r="I217" t="s">
        <v>287</v>
      </c>
      <c r="J217">
        <v>217</v>
      </c>
      <c r="K217">
        <v>59.8</v>
      </c>
      <c r="L217">
        <v>12976.6</v>
      </c>
      <c r="M217" t="s">
        <v>195</v>
      </c>
      <c r="N217" t="b">
        <v>1</v>
      </c>
      <c r="O217">
        <v>0</v>
      </c>
    </row>
    <row r="218" spans="1:15" x14ac:dyDescent="0.35">
      <c r="A218" t="s">
        <v>636</v>
      </c>
      <c r="B218" t="s">
        <v>26</v>
      </c>
      <c r="C218" t="s">
        <v>27</v>
      </c>
      <c r="D218" t="s">
        <v>28</v>
      </c>
      <c r="E218" t="s">
        <v>183</v>
      </c>
      <c r="F218" t="s">
        <v>129</v>
      </c>
      <c r="G218" t="s">
        <v>96</v>
      </c>
      <c r="H218" t="s">
        <v>106</v>
      </c>
      <c r="I218" t="s">
        <v>465</v>
      </c>
      <c r="J218">
        <v>25</v>
      </c>
      <c r="K218">
        <v>99.75</v>
      </c>
      <c r="L218">
        <v>2493.75</v>
      </c>
      <c r="M218" t="s">
        <v>195</v>
      </c>
      <c r="N218" t="b">
        <v>1</v>
      </c>
      <c r="O218">
        <v>0</v>
      </c>
    </row>
    <row r="219" spans="1:15" x14ac:dyDescent="0.35">
      <c r="A219" t="s">
        <v>637</v>
      </c>
      <c r="B219" t="s">
        <v>31</v>
      </c>
      <c r="C219" t="s">
        <v>32</v>
      </c>
      <c r="D219" t="s">
        <v>33</v>
      </c>
      <c r="E219" t="s">
        <v>183</v>
      </c>
      <c r="F219" t="s">
        <v>127</v>
      </c>
      <c r="G219" t="s">
        <v>638</v>
      </c>
      <c r="H219" t="s">
        <v>639</v>
      </c>
      <c r="I219" t="s">
        <v>79</v>
      </c>
      <c r="J219">
        <v>28</v>
      </c>
      <c r="K219">
        <v>816</v>
      </c>
      <c r="L219">
        <v>22848</v>
      </c>
      <c r="M219" t="s">
        <v>170</v>
      </c>
      <c r="N219" t="b">
        <v>1</v>
      </c>
      <c r="O219">
        <v>0</v>
      </c>
    </row>
    <row r="220" spans="1:15" x14ac:dyDescent="0.35">
      <c r="A220" t="s">
        <v>640</v>
      </c>
      <c r="B220" t="s">
        <v>24</v>
      </c>
      <c r="C220" t="s">
        <v>22</v>
      </c>
      <c r="D220" t="s">
        <v>25</v>
      </c>
      <c r="E220" t="s">
        <v>180</v>
      </c>
      <c r="F220" t="s">
        <v>128</v>
      </c>
      <c r="G220" t="s">
        <v>86</v>
      </c>
      <c r="H220" t="s">
        <v>94</v>
      </c>
      <c r="I220" t="s">
        <v>498</v>
      </c>
      <c r="J220">
        <v>308</v>
      </c>
      <c r="K220">
        <v>209</v>
      </c>
      <c r="L220">
        <v>64372</v>
      </c>
      <c r="M220" t="s">
        <v>159</v>
      </c>
      <c r="N220" t="b">
        <v>0</v>
      </c>
      <c r="O220">
        <v>15</v>
      </c>
    </row>
    <row r="221" spans="1:15" x14ac:dyDescent="0.35">
      <c r="A221" t="s">
        <v>641</v>
      </c>
      <c r="B221" t="s">
        <v>31</v>
      </c>
      <c r="C221" t="s">
        <v>32</v>
      </c>
      <c r="D221" t="s">
        <v>33</v>
      </c>
      <c r="E221" t="s">
        <v>143</v>
      </c>
      <c r="F221" t="s">
        <v>128</v>
      </c>
      <c r="G221" t="s">
        <v>471</v>
      </c>
      <c r="H221" t="s">
        <v>414</v>
      </c>
      <c r="I221" t="s">
        <v>642</v>
      </c>
      <c r="J221">
        <v>95</v>
      </c>
      <c r="K221">
        <v>816</v>
      </c>
      <c r="L221">
        <v>77520</v>
      </c>
      <c r="M221" t="s">
        <v>170</v>
      </c>
      <c r="N221" t="b">
        <v>1</v>
      </c>
      <c r="O221">
        <v>0</v>
      </c>
    </row>
    <row r="222" spans="1:15" x14ac:dyDescent="0.35">
      <c r="A222" t="s">
        <v>643</v>
      </c>
      <c r="B222" t="s">
        <v>51</v>
      </c>
      <c r="C222" t="s">
        <v>52</v>
      </c>
      <c r="D222" t="s">
        <v>53</v>
      </c>
      <c r="E222" t="s">
        <v>165</v>
      </c>
      <c r="F222" t="s">
        <v>129</v>
      </c>
      <c r="G222" t="s">
        <v>401</v>
      </c>
      <c r="H222" t="s">
        <v>191</v>
      </c>
      <c r="I222" t="s">
        <v>89</v>
      </c>
      <c r="J222">
        <v>72</v>
      </c>
      <c r="K222">
        <v>44.1</v>
      </c>
      <c r="L222">
        <v>3175.2</v>
      </c>
      <c r="M222" t="s">
        <v>195</v>
      </c>
      <c r="N222" t="b">
        <v>1</v>
      </c>
      <c r="O222">
        <v>0</v>
      </c>
    </row>
    <row r="223" spans="1:15" x14ac:dyDescent="0.35">
      <c r="A223" t="s">
        <v>644</v>
      </c>
      <c r="B223" t="s">
        <v>17</v>
      </c>
      <c r="C223" t="s">
        <v>14</v>
      </c>
      <c r="D223" t="s">
        <v>18</v>
      </c>
      <c r="E223" t="s">
        <v>165</v>
      </c>
      <c r="F223" t="s">
        <v>130</v>
      </c>
      <c r="G223" t="s">
        <v>522</v>
      </c>
      <c r="H223" t="s">
        <v>235</v>
      </c>
      <c r="I223" t="s">
        <v>235</v>
      </c>
      <c r="J223">
        <v>272</v>
      </c>
      <c r="K223">
        <v>513.6</v>
      </c>
      <c r="L223">
        <v>139699.20000000001</v>
      </c>
      <c r="M223" t="s">
        <v>146</v>
      </c>
      <c r="N223" t="b">
        <v>1</v>
      </c>
      <c r="O223">
        <v>0</v>
      </c>
    </row>
    <row r="224" spans="1:15" x14ac:dyDescent="0.35">
      <c r="A224" t="s">
        <v>645</v>
      </c>
      <c r="B224" t="s">
        <v>36</v>
      </c>
      <c r="C224" t="s">
        <v>37</v>
      </c>
      <c r="D224" t="s">
        <v>38</v>
      </c>
      <c r="E224" t="s">
        <v>165</v>
      </c>
      <c r="F224" t="s">
        <v>130</v>
      </c>
      <c r="G224" t="s">
        <v>509</v>
      </c>
      <c r="H224" t="s">
        <v>282</v>
      </c>
      <c r="I224" t="s">
        <v>428</v>
      </c>
      <c r="J224">
        <v>44</v>
      </c>
      <c r="K224">
        <v>190.75</v>
      </c>
      <c r="L224">
        <v>8393</v>
      </c>
      <c r="M224" t="s">
        <v>195</v>
      </c>
      <c r="N224" t="b">
        <v>1</v>
      </c>
      <c r="O224">
        <v>0</v>
      </c>
    </row>
    <row r="225" spans="1:15" x14ac:dyDescent="0.35">
      <c r="A225" t="s">
        <v>646</v>
      </c>
      <c r="B225" t="s">
        <v>29</v>
      </c>
      <c r="C225" t="s">
        <v>27</v>
      </c>
      <c r="D225" t="s">
        <v>20</v>
      </c>
      <c r="E225" t="s">
        <v>143</v>
      </c>
      <c r="F225" t="s">
        <v>130</v>
      </c>
      <c r="G225" t="s">
        <v>67</v>
      </c>
      <c r="H225" t="s">
        <v>77</v>
      </c>
      <c r="I225" t="s">
        <v>77</v>
      </c>
      <c r="J225">
        <v>203</v>
      </c>
      <c r="K225">
        <v>90.25</v>
      </c>
      <c r="L225">
        <v>18320.75</v>
      </c>
      <c r="M225" t="s">
        <v>170</v>
      </c>
      <c r="N225" t="b">
        <v>1</v>
      </c>
      <c r="O225">
        <v>0</v>
      </c>
    </row>
    <row r="226" spans="1:15" x14ac:dyDescent="0.35">
      <c r="A226" t="s">
        <v>647</v>
      </c>
      <c r="B226" t="s">
        <v>11</v>
      </c>
      <c r="C226" t="s">
        <v>8</v>
      </c>
      <c r="D226" t="s">
        <v>12</v>
      </c>
      <c r="E226" t="s">
        <v>143</v>
      </c>
      <c r="F226" t="s">
        <v>130</v>
      </c>
      <c r="G226" t="s">
        <v>341</v>
      </c>
      <c r="H226" t="s">
        <v>197</v>
      </c>
      <c r="I226" t="s">
        <v>184</v>
      </c>
      <c r="J226">
        <v>30</v>
      </c>
      <c r="K226">
        <v>3104</v>
      </c>
      <c r="L226">
        <v>93120</v>
      </c>
      <c r="M226" t="s">
        <v>195</v>
      </c>
      <c r="N226" t="b">
        <v>1</v>
      </c>
      <c r="O226">
        <v>0</v>
      </c>
    </row>
    <row r="227" spans="1:15" x14ac:dyDescent="0.35">
      <c r="A227" t="s">
        <v>648</v>
      </c>
      <c r="B227" t="s">
        <v>44</v>
      </c>
      <c r="C227" t="s">
        <v>45</v>
      </c>
      <c r="D227" t="s">
        <v>46</v>
      </c>
      <c r="E227" t="s">
        <v>143</v>
      </c>
      <c r="F227" t="s">
        <v>130</v>
      </c>
      <c r="G227" t="s">
        <v>371</v>
      </c>
      <c r="H227" t="s">
        <v>231</v>
      </c>
      <c r="I227" t="s">
        <v>231</v>
      </c>
      <c r="J227">
        <v>301</v>
      </c>
      <c r="K227">
        <v>31.92</v>
      </c>
      <c r="L227">
        <v>9607.92</v>
      </c>
      <c r="M227" t="s">
        <v>195</v>
      </c>
      <c r="N227" t="b">
        <v>1</v>
      </c>
      <c r="O227">
        <v>0</v>
      </c>
    </row>
    <row r="228" spans="1:15" x14ac:dyDescent="0.35">
      <c r="A228" t="s">
        <v>649</v>
      </c>
      <c r="B228" t="s">
        <v>19</v>
      </c>
      <c r="C228" t="s">
        <v>14</v>
      </c>
      <c r="D228" t="s">
        <v>20</v>
      </c>
      <c r="E228" t="s">
        <v>183</v>
      </c>
      <c r="F228" t="s">
        <v>128</v>
      </c>
      <c r="G228" t="s">
        <v>237</v>
      </c>
      <c r="H228" t="s">
        <v>225</v>
      </c>
      <c r="I228" t="s">
        <v>650</v>
      </c>
      <c r="J228">
        <v>50</v>
      </c>
      <c r="K228">
        <v>441.6</v>
      </c>
      <c r="L228">
        <v>22080</v>
      </c>
      <c r="M228" t="s">
        <v>195</v>
      </c>
      <c r="N228" t="b">
        <v>1</v>
      </c>
      <c r="O228">
        <v>0</v>
      </c>
    </row>
    <row r="229" spans="1:15" x14ac:dyDescent="0.35">
      <c r="A229" t="s">
        <v>651</v>
      </c>
      <c r="B229" t="s">
        <v>41</v>
      </c>
      <c r="C229" t="s">
        <v>42</v>
      </c>
      <c r="D229" t="s">
        <v>23</v>
      </c>
      <c r="E229" t="s">
        <v>152</v>
      </c>
      <c r="F229" t="s">
        <v>130</v>
      </c>
      <c r="G229" t="s">
        <v>105</v>
      </c>
      <c r="H229" t="s">
        <v>652</v>
      </c>
      <c r="I229" t="s">
        <v>653</v>
      </c>
      <c r="J229">
        <v>246</v>
      </c>
      <c r="K229">
        <v>397.7</v>
      </c>
      <c r="L229">
        <v>97834.2</v>
      </c>
      <c r="M229" t="s">
        <v>170</v>
      </c>
      <c r="N229" t="b">
        <v>1</v>
      </c>
      <c r="O229">
        <v>0</v>
      </c>
    </row>
    <row r="230" spans="1:15" x14ac:dyDescent="0.35">
      <c r="A230" t="s">
        <v>654</v>
      </c>
      <c r="B230" t="s">
        <v>7</v>
      </c>
      <c r="C230" t="s">
        <v>8</v>
      </c>
      <c r="D230" t="s">
        <v>9</v>
      </c>
      <c r="E230" t="s">
        <v>180</v>
      </c>
      <c r="F230" t="s">
        <v>130</v>
      </c>
      <c r="G230" t="s">
        <v>254</v>
      </c>
      <c r="H230" t="s">
        <v>564</v>
      </c>
      <c r="I230" t="s">
        <v>484</v>
      </c>
      <c r="J230">
        <v>317</v>
      </c>
      <c r="K230">
        <v>2976</v>
      </c>
      <c r="L230">
        <v>943392</v>
      </c>
      <c r="M230" t="s">
        <v>195</v>
      </c>
      <c r="N230" t="b">
        <v>1</v>
      </c>
      <c r="O230">
        <v>0</v>
      </c>
    </row>
    <row r="231" spans="1:15" x14ac:dyDescent="0.35">
      <c r="A231" t="s">
        <v>655</v>
      </c>
      <c r="B231" t="s">
        <v>29</v>
      </c>
      <c r="C231" t="s">
        <v>27</v>
      </c>
      <c r="D231" t="s">
        <v>20</v>
      </c>
      <c r="E231" t="s">
        <v>165</v>
      </c>
      <c r="F231" t="s">
        <v>127</v>
      </c>
      <c r="G231" t="s">
        <v>656</v>
      </c>
      <c r="H231" t="s">
        <v>312</v>
      </c>
      <c r="I231" t="s">
        <v>194</v>
      </c>
      <c r="J231">
        <v>281</v>
      </c>
      <c r="K231">
        <v>90.25</v>
      </c>
      <c r="L231">
        <v>25360.25</v>
      </c>
      <c r="M231" t="s">
        <v>170</v>
      </c>
      <c r="N231" t="b">
        <v>1</v>
      </c>
      <c r="O231">
        <v>0</v>
      </c>
    </row>
    <row r="232" spans="1:15" x14ac:dyDescent="0.35">
      <c r="A232" t="s">
        <v>657</v>
      </c>
      <c r="B232" t="s">
        <v>54</v>
      </c>
      <c r="C232" t="s">
        <v>52</v>
      </c>
      <c r="D232" t="s">
        <v>55</v>
      </c>
      <c r="E232" t="s">
        <v>180</v>
      </c>
      <c r="F232" t="s">
        <v>128</v>
      </c>
      <c r="G232" t="s">
        <v>162</v>
      </c>
      <c r="H232" t="s">
        <v>658</v>
      </c>
      <c r="I232" t="s">
        <v>249</v>
      </c>
      <c r="J232">
        <v>227</v>
      </c>
      <c r="K232">
        <v>45.36</v>
      </c>
      <c r="L232">
        <v>10296.719999999999</v>
      </c>
      <c r="M232" t="s">
        <v>195</v>
      </c>
      <c r="N232" t="b">
        <v>1</v>
      </c>
      <c r="O232">
        <v>0</v>
      </c>
    </row>
    <row r="233" spans="1:15" x14ac:dyDescent="0.35">
      <c r="A233" t="s">
        <v>659</v>
      </c>
      <c r="B233" t="s">
        <v>26</v>
      </c>
      <c r="C233" t="s">
        <v>27</v>
      </c>
      <c r="D233" t="s">
        <v>28</v>
      </c>
      <c r="E233" t="s">
        <v>165</v>
      </c>
      <c r="F233" t="s">
        <v>128</v>
      </c>
      <c r="G233" t="s">
        <v>181</v>
      </c>
      <c r="H233" t="s">
        <v>660</v>
      </c>
      <c r="I233" t="s">
        <v>583</v>
      </c>
      <c r="J233">
        <v>161</v>
      </c>
      <c r="K233">
        <v>99.75</v>
      </c>
      <c r="L233">
        <v>16059.75</v>
      </c>
      <c r="M233" t="s">
        <v>170</v>
      </c>
      <c r="N233" t="b">
        <v>1</v>
      </c>
      <c r="O233">
        <v>0</v>
      </c>
    </row>
    <row r="234" spans="1:15" x14ac:dyDescent="0.35">
      <c r="A234" t="s">
        <v>661</v>
      </c>
      <c r="B234" t="s">
        <v>24</v>
      </c>
      <c r="C234" t="s">
        <v>22</v>
      </c>
      <c r="D234" t="s">
        <v>25</v>
      </c>
      <c r="E234" t="s">
        <v>165</v>
      </c>
      <c r="F234" t="s">
        <v>129</v>
      </c>
      <c r="G234" t="s">
        <v>508</v>
      </c>
      <c r="H234" t="s">
        <v>153</v>
      </c>
      <c r="I234" t="s">
        <v>642</v>
      </c>
      <c r="J234">
        <v>241</v>
      </c>
      <c r="K234">
        <v>209</v>
      </c>
      <c r="L234">
        <v>50369</v>
      </c>
      <c r="M234" t="s">
        <v>159</v>
      </c>
      <c r="N234" t="b">
        <v>0</v>
      </c>
      <c r="O234">
        <v>20</v>
      </c>
    </row>
    <row r="235" spans="1:15" x14ac:dyDescent="0.35">
      <c r="A235" t="s">
        <v>662</v>
      </c>
      <c r="B235" t="s">
        <v>7</v>
      </c>
      <c r="C235" t="s">
        <v>8</v>
      </c>
      <c r="D235" t="s">
        <v>9</v>
      </c>
      <c r="E235" t="s">
        <v>183</v>
      </c>
      <c r="F235" t="s">
        <v>129</v>
      </c>
      <c r="G235" t="s">
        <v>244</v>
      </c>
      <c r="H235" t="s">
        <v>245</v>
      </c>
      <c r="I235" t="s">
        <v>248</v>
      </c>
      <c r="J235">
        <v>360</v>
      </c>
      <c r="K235">
        <v>2976</v>
      </c>
      <c r="L235">
        <v>1071360</v>
      </c>
      <c r="M235" t="s">
        <v>146</v>
      </c>
      <c r="N235" t="b">
        <v>1</v>
      </c>
      <c r="O235">
        <v>0</v>
      </c>
    </row>
    <row r="236" spans="1:15" x14ac:dyDescent="0.35">
      <c r="A236" t="s">
        <v>663</v>
      </c>
      <c r="B236" t="s">
        <v>24</v>
      </c>
      <c r="C236" t="s">
        <v>22</v>
      </c>
      <c r="D236" t="s">
        <v>25</v>
      </c>
      <c r="E236" t="s">
        <v>180</v>
      </c>
      <c r="F236" t="s">
        <v>129</v>
      </c>
      <c r="G236" t="s">
        <v>664</v>
      </c>
      <c r="H236" t="s">
        <v>586</v>
      </c>
      <c r="I236" t="s">
        <v>665</v>
      </c>
      <c r="J236">
        <v>344</v>
      </c>
      <c r="K236">
        <v>209</v>
      </c>
      <c r="L236">
        <v>71896</v>
      </c>
      <c r="M236" t="s">
        <v>146</v>
      </c>
      <c r="N236" t="b">
        <v>1</v>
      </c>
      <c r="O236">
        <v>0</v>
      </c>
    </row>
    <row r="237" spans="1:15" x14ac:dyDescent="0.35">
      <c r="A237" t="s">
        <v>666</v>
      </c>
      <c r="B237" t="s">
        <v>24</v>
      </c>
      <c r="C237" t="s">
        <v>22</v>
      </c>
      <c r="D237" t="s">
        <v>25</v>
      </c>
      <c r="E237" t="s">
        <v>143</v>
      </c>
      <c r="F237" t="s">
        <v>130</v>
      </c>
      <c r="G237" t="s">
        <v>80</v>
      </c>
      <c r="H237" t="s">
        <v>88</v>
      </c>
      <c r="I237" t="s">
        <v>88</v>
      </c>
      <c r="J237">
        <v>104</v>
      </c>
      <c r="K237">
        <v>209</v>
      </c>
      <c r="L237">
        <v>21736</v>
      </c>
      <c r="M237" t="s">
        <v>195</v>
      </c>
      <c r="N237" t="b">
        <v>1</v>
      </c>
      <c r="O237">
        <v>0</v>
      </c>
    </row>
    <row r="238" spans="1:15" x14ac:dyDescent="0.35">
      <c r="A238" t="s">
        <v>667</v>
      </c>
      <c r="B238" t="s">
        <v>49</v>
      </c>
      <c r="C238" t="s">
        <v>50</v>
      </c>
      <c r="D238" t="s">
        <v>33</v>
      </c>
      <c r="E238" t="s">
        <v>143</v>
      </c>
      <c r="F238" t="s">
        <v>127</v>
      </c>
      <c r="G238" t="s">
        <v>338</v>
      </c>
      <c r="H238" t="s">
        <v>386</v>
      </c>
      <c r="I238" t="s">
        <v>481</v>
      </c>
      <c r="J238">
        <v>100</v>
      </c>
      <c r="K238">
        <v>59.8</v>
      </c>
      <c r="L238">
        <v>5980</v>
      </c>
      <c r="M238" t="s">
        <v>170</v>
      </c>
      <c r="N238" t="b">
        <v>1</v>
      </c>
      <c r="O238">
        <v>0</v>
      </c>
    </row>
    <row r="239" spans="1:15" x14ac:dyDescent="0.35">
      <c r="A239" t="s">
        <v>668</v>
      </c>
      <c r="B239" t="s">
        <v>47</v>
      </c>
      <c r="C239" t="s">
        <v>45</v>
      </c>
      <c r="D239" t="s">
        <v>48</v>
      </c>
      <c r="E239" t="s">
        <v>183</v>
      </c>
      <c r="F239" t="s">
        <v>127</v>
      </c>
      <c r="G239" t="s">
        <v>71</v>
      </c>
      <c r="H239" t="s">
        <v>77</v>
      </c>
      <c r="I239" t="s">
        <v>400</v>
      </c>
      <c r="J239">
        <v>36</v>
      </c>
      <c r="K239">
        <v>26.04</v>
      </c>
      <c r="L239">
        <v>937.44</v>
      </c>
      <c r="M239" t="s">
        <v>170</v>
      </c>
      <c r="N239" t="b">
        <v>1</v>
      </c>
      <c r="O239">
        <v>0</v>
      </c>
    </row>
    <row r="240" spans="1:15" x14ac:dyDescent="0.35">
      <c r="A240" t="s">
        <v>669</v>
      </c>
      <c r="B240" t="s">
        <v>34</v>
      </c>
      <c r="C240" t="s">
        <v>32</v>
      </c>
      <c r="D240" t="s">
        <v>35</v>
      </c>
      <c r="E240" t="s">
        <v>165</v>
      </c>
      <c r="F240" t="s">
        <v>128</v>
      </c>
      <c r="G240" t="s">
        <v>388</v>
      </c>
      <c r="H240" t="s">
        <v>320</v>
      </c>
      <c r="I240" t="s">
        <v>316</v>
      </c>
      <c r="J240">
        <v>157</v>
      </c>
      <c r="K240">
        <v>824.5</v>
      </c>
      <c r="L240">
        <v>129446.5</v>
      </c>
      <c r="M240" t="s">
        <v>195</v>
      </c>
      <c r="N240" t="b">
        <v>1</v>
      </c>
      <c r="O240">
        <v>0</v>
      </c>
    </row>
    <row r="241" spans="1:15" x14ac:dyDescent="0.35">
      <c r="A241" t="s">
        <v>670</v>
      </c>
      <c r="B241" t="s">
        <v>47</v>
      </c>
      <c r="C241" t="s">
        <v>45</v>
      </c>
      <c r="D241" t="s">
        <v>48</v>
      </c>
      <c r="E241" t="s">
        <v>165</v>
      </c>
      <c r="F241" t="s">
        <v>130</v>
      </c>
      <c r="G241" t="s">
        <v>671</v>
      </c>
      <c r="H241" t="s">
        <v>230</v>
      </c>
      <c r="I241" t="s">
        <v>80</v>
      </c>
      <c r="J241">
        <v>34</v>
      </c>
      <c r="K241">
        <v>26.04</v>
      </c>
      <c r="L241">
        <v>885.36</v>
      </c>
      <c r="M241" t="s">
        <v>170</v>
      </c>
      <c r="N241" t="b">
        <v>1</v>
      </c>
      <c r="O241">
        <v>0</v>
      </c>
    </row>
    <row r="242" spans="1:15" x14ac:dyDescent="0.35">
      <c r="A242" t="s">
        <v>672</v>
      </c>
      <c r="B242" t="s">
        <v>54</v>
      </c>
      <c r="C242" t="s">
        <v>52</v>
      </c>
      <c r="D242" t="s">
        <v>55</v>
      </c>
      <c r="E242" t="s">
        <v>183</v>
      </c>
      <c r="F242" t="s">
        <v>127</v>
      </c>
      <c r="G242" t="s">
        <v>673</v>
      </c>
      <c r="H242" t="s">
        <v>575</v>
      </c>
      <c r="I242" t="s">
        <v>173</v>
      </c>
      <c r="J242">
        <v>381</v>
      </c>
      <c r="K242">
        <v>45.36</v>
      </c>
      <c r="L242">
        <v>17282.16</v>
      </c>
      <c r="M242" t="s">
        <v>159</v>
      </c>
      <c r="N242" t="b">
        <v>0</v>
      </c>
      <c r="O242">
        <v>13</v>
      </c>
    </row>
    <row r="243" spans="1:15" x14ac:dyDescent="0.35">
      <c r="A243" t="s">
        <v>674</v>
      </c>
      <c r="B243" t="s">
        <v>47</v>
      </c>
      <c r="C243" t="s">
        <v>45</v>
      </c>
      <c r="D243" t="s">
        <v>48</v>
      </c>
      <c r="E243" t="s">
        <v>143</v>
      </c>
      <c r="F243" t="s">
        <v>129</v>
      </c>
      <c r="G243" t="s">
        <v>97</v>
      </c>
      <c r="H243" t="s">
        <v>103</v>
      </c>
      <c r="I243" t="s">
        <v>194</v>
      </c>
      <c r="J243">
        <v>59</v>
      </c>
      <c r="K243">
        <v>26.04</v>
      </c>
      <c r="L243">
        <v>1536.36</v>
      </c>
      <c r="M243" t="s">
        <v>170</v>
      </c>
      <c r="N243" t="b">
        <v>1</v>
      </c>
      <c r="O243">
        <v>0</v>
      </c>
    </row>
    <row r="244" spans="1:15" x14ac:dyDescent="0.35">
      <c r="A244" t="s">
        <v>675</v>
      </c>
      <c r="B244" t="s">
        <v>49</v>
      </c>
      <c r="C244" t="s">
        <v>50</v>
      </c>
      <c r="D244" t="s">
        <v>33</v>
      </c>
      <c r="E244" t="s">
        <v>183</v>
      </c>
      <c r="F244" t="s">
        <v>129</v>
      </c>
      <c r="G244" t="s">
        <v>449</v>
      </c>
      <c r="H244" t="s">
        <v>271</v>
      </c>
      <c r="I244" t="s">
        <v>333</v>
      </c>
      <c r="J244">
        <v>222</v>
      </c>
      <c r="K244">
        <v>59.8</v>
      </c>
      <c r="L244">
        <v>13275.6</v>
      </c>
      <c r="M244" t="s">
        <v>159</v>
      </c>
      <c r="N244" t="b">
        <v>0</v>
      </c>
      <c r="O244">
        <v>27</v>
      </c>
    </row>
    <row r="245" spans="1:15" x14ac:dyDescent="0.35">
      <c r="A245" t="s">
        <v>676</v>
      </c>
      <c r="B245" t="s">
        <v>31</v>
      </c>
      <c r="C245" t="s">
        <v>32</v>
      </c>
      <c r="D245" t="s">
        <v>33</v>
      </c>
      <c r="E245" t="s">
        <v>152</v>
      </c>
      <c r="F245" t="s">
        <v>128</v>
      </c>
      <c r="G245" t="s">
        <v>464</v>
      </c>
      <c r="H245" t="s">
        <v>677</v>
      </c>
      <c r="I245" t="s">
        <v>678</v>
      </c>
      <c r="J245">
        <v>186</v>
      </c>
      <c r="K245">
        <v>816</v>
      </c>
      <c r="L245">
        <v>151776</v>
      </c>
      <c r="M245" t="s">
        <v>170</v>
      </c>
      <c r="N245" t="b">
        <v>1</v>
      </c>
      <c r="O245">
        <v>0</v>
      </c>
    </row>
    <row r="246" spans="1:15" x14ac:dyDescent="0.35">
      <c r="A246" t="s">
        <v>679</v>
      </c>
      <c r="B246" t="s">
        <v>44</v>
      </c>
      <c r="C246" t="s">
        <v>45</v>
      </c>
      <c r="D246" t="s">
        <v>46</v>
      </c>
      <c r="E246" t="s">
        <v>180</v>
      </c>
      <c r="F246" t="s">
        <v>127</v>
      </c>
      <c r="G246" t="s">
        <v>153</v>
      </c>
      <c r="H246" t="s">
        <v>540</v>
      </c>
      <c r="I246" t="s">
        <v>304</v>
      </c>
      <c r="J246">
        <v>312</v>
      </c>
      <c r="K246">
        <v>31.92</v>
      </c>
      <c r="L246">
        <v>9959.0400000000009</v>
      </c>
      <c r="M246" t="s">
        <v>195</v>
      </c>
      <c r="N246" t="b">
        <v>1</v>
      </c>
      <c r="O246">
        <v>0</v>
      </c>
    </row>
    <row r="247" spans="1:15" x14ac:dyDescent="0.35">
      <c r="A247" t="s">
        <v>680</v>
      </c>
      <c r="B247" t="s">
        <v>26</v>
      </c>
      <c r="C247" t="s">
        <v>27</v>
      </c>
      <c r="D247" t="s">
        <v>28</v>
      </c>
      <c r="E247" t="s">
        <v>143</v>
      </c>
      <c r="F247" t="s">
        <v>127</v>
      </c>
      <c r="G247" t="s">
        <v>81</v>
      </c>
      <c r="H247" t="s">
        <v>91</v>
      </c>
      <c r="I247" t="s">
        <v>274</v>
      </c>
      <c r="J247">
        <v>195</v>
      </c>
      <c r="K247">
        <v>99.75</v>
      </c>
      <c r="L247">
        <v>19451.25</v>
      </c>
      <c r="M247" t="s">
        <v>170</v>
      </c>
      <c r="N247" t="b">
        <v>1</v>
      </c>
      <c r="O247">
        <v>0</v>
      </c>
    </row>
    <row r="248" spans="1:15" x14ac:dyDescent="0.35">
      <c r="A248" t="s">
        <v>681</v>
      </c>
      <c r="B248" t="s">
        <v>34</v>
      </c>
      <c r="C248" t="s">
        <v>32</v>
      </c>
      <c r="D248" t="s">
        <v>35</v>
      </c>
      <c r="E248" t="s">
        <v>180</v>
      </c>
      <c r="F248" t="s">
        <v>130</v>
      </c>
      <c r="G248" t="s">
        <v>682</v>
      </c>
      <c r="H248" t="s">
        <v>642</v>
      </c>
      <c r="I248" t="s">
        <v>642</v>
      </c>
      <c r="J248">
        <v>206</v>
      </c>
      <c r="K248">
        <v>824.5</v>
      </c>
      <c r="L248">
        <v>169847</v>
      </c>
      <c r="M248" t="s">
        <v>195</v>
      </c>
      <c r="N248" t="b">
        <v>1</v>
      </c>
      <c r="O248">
        <v>0</v>
      </c>
    </row>
    <row r="249" spans="1:15" x14ac:dyDescent="0.35">
      <c r="A249" t="s">
        <v>683</v>
      </c>
      <c r="B249" t="s">
        <v>7</v>
      </c>
      <c r="C249" t="s">
        <v>8</v>
      </c>
      <c r="D249" t="s">
        <v>9</v>
      </c>
      <c r="E249" t="s">
        <v>180</v>
      </c>
      <c r="F249" t="s">
        <v>129</v>
      </c>
      <c r="G249" t="s">
        <v>216</v>
      </c>
      <c r="H249" t="s">
        <v>684</v>
      </c>
      <c r="I249" t="s">
        <v>685</v>
      </c>
      <c r="J249">
        <v>345</v>
      </c>
      <c r="K249">
        <v>2976</v>
      </c>
      <c r="L249">
        <v>1026720</v>
      </c>
      <c r="M249" t="s">
        <v>170</v>
      </c>
      <c r="N249" t="b">
        <v>1</v>
      </c>
      <c r="O249">
        <v>0</v>
      </c>
    </row>
    <row r="250" spans="1:15" x14ac:dyDescent="0.35">
      <c r="A250" t="s">
        <v>686</v>
      </c>
      <c r="B250" t="s">
        <v>51</v>
      </c>
      <c r="C250" t="s">
        <v>52</v>
      </c>
      <c r="D250" t="s">
        <v>53</v>
      </c>
      <c r="E250" t="s">
        <v>143</v>
      </c>
      <c r="F250" t="s">
        <v>130</v>
      </c>
      <c r="G250" t="s">
        <v>158</v>
      </c>
      <c r="H250" t="s">
        <v>297</v>
      </c>
      <c r="I250" t="s">
        <v>660</v>
      </c>
      <c r="J250">
        <v>102</v>
      </c>
      <c r="K250">
        <v>44.1</v>
      </c>
      <c r="L250">
        <v>4498.2</v>
      </c>
      <c r="M250" t="s">
        <v>170</v>
      </c>
      <c r="N250" t="b">
        <v>1</v>
      </c>
      <c r="O250">
        <v>0</v>
      </c>
    </row>
    <row r="251" spans="1:15" x14ac:dyDescent="0.35">
      <c r="A251" t="s">
        <v>687</v>
      </c>
      <c r="B251" t="s">
        <v>21</v>
      </c>
      <c r="C251" t="s">
        <v>22</v>
      </c>
      <c r="D251" t="s">
        <v>23</v>
      </c>
      <c r="E251" t="s">
        <v>180</v>
      </c>
      <c r="F251" t="s">
        <v>130</v>
      </c>
      <c r="G251" t="s">
        <v>688</v>
      </c>
      <c r="H251" t="s">
        <v>642</v>
      </c>
      <c r="I251" t="s">
        <v>414</v>
      </c>
      <c r="J251">
        <v>372</v>
      </c>
      <c r="K251">
        <v>200.2</v>
      </c>
      <c r="L251">
        <v>74474.399999999994</v>
      </c>
      <c r="M251" t="s">
        <v>195</v>
      </c>
      <c r="N251" t="b">
        <v>1</v>
      </c>
      <c r="O251">
        <v>0</v>
      </c>
    </row>
    <row r="252" spans="1:15" x14ac:dyDescent="0.35">
      <c r="A252" t="s">
        <v>689</v>
      </c>
      <c r="B252" t="s">
        <v>34</v>
      </c>
      <c r="C252" t="s">
        <v>32</v>
      </c>
      <c r="D252" t="s">
        <v>35</v>
      </c>
      <c r="E252" t="s">
        <v>152</v>
      </c>
      <c r="F252" t="s">
        <v>128</v>
      </c>
      <c r="G252" t="s">
        <v>413</v>
      </c>
      <c r="H252" t="s">
        <v>586</v>
      </c>
      <c r="I252" t="s">
        <v>379</v>
      </c>
      <c r="J252">
        <v>184</v>
      </c>
      <c r="K252">
        <v>824.5</v>
      </c>
      <c r="L252">
        <v>151708</v>
      </c>
      <c r="M252" t="s">
        <v>195</v>
      </c>
      <c r="N252" t="b">
        <v>1</v>
      </c>
      <c r="O252">
        <v>0</v>
      </c>
    </row>
    <row r="253" spans="1:15" x14ac:dyDescent="0.35">
      <c r="A253" t="s">
        <v>690</v>
      </c>
      <c r="B253" t="s">
        <v>26</v>
      </c>
      <c r="C253" t="s">
        <v>27</v>
      </c>
      <c r="D253" t="s">
        <v>28</v>
      </c>
      <c r="E253" t="s">
        <v>152</v>
      </c>
      <c r="F253" t="s">
        <v>129</v>
      </c>
      <c r="G253" t="s">
        <v>691</v>
      </c>
      <c r="H253" t="s">
        <v>692</v>
      </c>
      <c r="I253" t="s">
        <v>693</v>
      </c>
      <c r="J253">
        <v>95</v>
      </c>
      <c r="K253">
        <v>99.75</v>
      </c>
      <c r="L253">
        <v>9476.25</v>
      </c>
      <c r="M253" t="s">
        <v>159</v>
      </c>
      <c r="N253" t="b">
        <v>0</v>
      </c>
      <c r="O253">
        <v>27</v>
      </c>
    </row>
    <row r="254" spans="1:15" x14ac:dyDescent="0.35">
      <c r="A254" t="s">
        <v>694</v>
      </c>
      <c r="B254" t="s">
        <v>13</v>
      </c>
      <c r="C254" t="s">
        <v>14</v>
      </c>
      <c r="D254" t="s">
        <v>15</v>
      </c>
      <c r="E254" t="s">
        <v>180</v>
      </c>
      <c r="F254" t="s">
        <v>128</v>
      </c>
      <c r="G254" t="s">
        <v>178</v>
      </c>
      <c r="H254" t="s">
        <v>586</v>
      </c>
      <c r="I254" t="s">
        <v>97</v>
      </c>
      <c r="J254">
        <v>94</v>
      </c>
      <c r="K254">
        <v>446.4</v>
      </c>
      <c r="L254">
        <v>41961.599999999999</v>
      </c>
      <c r="M254" t="s">
        <v>170</v>
      </c>
      <c r="N254" t="b">
        <v>1</v>
      </c>
      <c r="O254">
        <v>0</v>
      </c>
    </row>
    <row r="255" spans="1:15" x14ac:dyDescent="0.35">
      <c r="A255" t="s">
        <v>695</v>
      </c>
      <c r="B255" t="s">
        <v>19</v>
      </c>
      <c r="C255" t="s">
        <v>14</v>
      </c>
      <c r="D255" t="s">
        <v>20</v>
      </c>
      <c r="E255" t="s">
        <v>165</v>
      </c>
      <c r="F255" t="s">
        <v>128</v>
      </c>
      <c r="G255" t="s">
        <v>208</v>
      </c>
      <c r="H255" t="s">
        <v>447</v>
      </c>
      <c r="I255" t="s">
        <v>235</v>
      </c>
      <c r="J255">
        <v>297</v>
      </c>
      <c r="K255">
        <v>441.6</v>
      </c>
      <c r="L255">
        <v>131155.20000000001</v>
      </c>
      <c r="M255" t="s">
        <v>195</v>
      </c>
      <c r="N255" t="b">
        <v>1</v>
      </c>
      <c r="O255">
        <v>0</v>
      </c>
    </row>
    <row r="256" spans="1:15" x14ac:dyDescent="0.35">
      <c r="A256" t="s">
        <v>696</v>
      </c>
      <c r="B256" t="s">
        <v>11</v>
      </c>
      <c r="C256" t="s">
        <v>8</v>
      </c>
      <c r="D256" t="s">
        <v>12</v>
      </c>
      <c r="E256" t="s">
        <v>180</v>
      </c>
      <c r="F256" t="s">
        <v>127</v>
      </c>
      <c r="G256" t="s">
        <v>697</v>
      </c>
      <c r="H256" t="s">
        <v>438</v>
      </c>
      <c r="I256" t="s">
        <v>392</v>
      </c>
      <c r="J256">
        <v>397</v>
      </c>
      <c r="K256">
        <v>3104</v>
      </c>
      <c r="L256">
        <v>1232288</v>
      </c>
      <c r="M256" t="s">
        <v>146</v>
      </c>
      <c r="N256" t="b">
        <v>1</v>
      </c>
      <c r="O256">
        <v>0</v>
      </c>
    </row>
    <row r="257" spans="1:15" x14ac:dyDescent="0.35">
      <c r="A257" t="s">
        <v>698</v>
      </c>
      <c r="B257" t="s">
        <v>39</v>
      </c>
      <c r="C257" t="s">
        <v>37</v>
      </c>
      <c r="D257" t="s">
        <v>40</v>
      </c>
      <c r="E257" t="s">
        <v>152</v>
      </c>
      <c r="F257" t="s">
        <v>129</v>
      </c>
      <c r="G257" t="s">
        <v>93</v>
      </c>
      <c r="H257" t="s">
        <v>102</v>
      </c>
      <c r="I257" t="s">
        <v>582</v>
      </c>
      <c r="J257">
        <v>165</v>
      </c>
      <c r="K257">
        <v>187.25</v>
      </c>
      <c r="L257">
        <v>30896.25</v>
      </c>
      <c r="M257" t="s">
        <v>146</v>
      </c>
      <c r="N257" t="b">
        <v>1</v>
      </c>
      <c r="O257">
        <v>0</v>
      </c>
    </row>
    <row r="258" spans="1:15" x14ac:dyDescent="0.35">
      <c r="A258" t="s">
        <v>699</v>
      </c>
      <c r="B258" t="s">
        <v>19</v>
      </c>
      <c r="C258" t="s">
        <v>14</v>
      </c>
      <c r="D258" t="s">
        <v>20</v>
      </c>
      <c r="E258" t="s">
        <v>143</v>
      </c>
      <c r="F258" t="s">
        <v>128</v>
      </c>
      <c r="G258" t="s">
        <v>254</v>
      </c>
      <c r="H258" t="s">
        <v>700</v>
      </c>
      <c r="I258" t="s">
        <v>161</v>
      </c>
      <c r="J258">
        <v>340</v>
      </c>
      <c r="K258">
        <v>441.6</v>
      </c>
      <c r="L258">
        <v>150144</v>
      </c>
      <c r="M258" t="s">
        <v>170</v>
      </c>
      <c r="N258" t="b">
        <v>1</v>
      </c>
      <c r="O258">
        <v>0</v>
      </c>
    </row>
    <row r="259" spans="1:15" x14ac:dyDescent="0.35">
      <c r="A259" t="s">
        <v>701</v>
      </c>
      <c r="B259" t="s">
        <v>34</v>
      </c>
      <c r="C259" t="s">
        <v>32</v>
      </c>
      <c r="D259" t="s">
        <v>35</v>
      </c>
      <c r="E259" t="s">
        <v>165</v>
      </c>
      <c r="F259" t="s">
        <v>128</v>
      </c>
      <c r="G259" t="s">
        <v>386</v>
      </c>
      <c r="H259" t="s">
        <v>245</v>
      </c>
      <c r="I259" t="s">
        <v>702</v>
      </c>
      <c r="J259">
        <v>208</v>
      </c>
      <c r="K259">
        <v>824.5</v>
      </c>
      <c r="L259">
        <v>171496</v>
      </c>
      <c r="M259" t="s">
        <v>146</v>
      </c>
      <c r="N259" t="b">
        <v>1</v>
      </c>
      <c r="O259">
        <v>0</v>
      </c>
    </row>
    <row r="260" spans="1:15" x14ac:dyDescent="0.35">
      <c r="A260" t="s">
        <v>703</v>
      </c>
      <c r="B260" t="s">
        <v>29</v>
      </c>
      <c r="C260" t="s">
        <v>27</v>
      </c>
      <c r="D260" t="s">
        <v>20</v>
      </c>
      <c r="E260" t="s">
        <v>180</v>
      </c>
      <c r="F260" t="s">
        <v>130</v>
      </c>
      <c r="G260" t="s">
        <v>237</v>
      </c>
      <c r="H260" t="s">
        <v>219</v>
      </c>
      <c r="I260" t="s">
        <v>110</v>
      </c>
      <c r="J260">
        <v>389</v>
      </c>
      <c r="K260">
        <v>90.25</v>
      </c>
      <c r="L260">
        <v>35107.25</v>
      </c>
      <c r="M260" t="s">
        <v>195</v>
      </c>
      <c r="N260" t="b">
        <v>1</v>
      </c>
      <c r="O260">
        <v>0</v>
      </c>
    </row>
    <row r="261" spans="1:15" x14ac:dyDescent="0.35">
      <c r="A261" t="s">
        <v>704</v>
      </c>
      <c r="B261" t="s">
        <v>44</v>
      </c>
      <c r="C261" t="s">
        <v>45</v>
      </c>
      <c r="D261" t="s">
        <v>46</v>
      </c>
      <c r="E261" t="s">
        <v>180</v>
      </c>
      <c r="F261" t="s">
        <v>129</v>
      </c>
      <c r="G261" t="s">
        <v>611</v>
      </c>
      <c r="H261" t="s">
        <v>293</v>
      </c>
      <c r="I261" t="s">
        <v>245</v>
      </c>
      <c r="J261">
        <v>108</v>
      </c>
      <c r="K261">
        <v>31.92</v>
      </c>
      <c r="L261">
        <v>3447.36</v>
      </c>
      <c r="M261" t="s">
        <v>146</v>
      </c>
      <c r="N261" t="b">
        <v>1</v>
      </c>
      <c r="O261">
        <v>0</v>
      </c>
    </row>
    <row r="262" spans="1:15" x14ac:dyDescent="0.35">
      <c r="A262" t="s">
        <v>705</v>
      </c>
      <c r="B262" t="s">
        <v>11</v>
      </c>
      <c r="C262" t="s">
        <v>8</v>
      </c>
      <c r="D262" t="s">
        <v>12</v>
      </c>
      <c r="E262" t="s">
        <v>143</v>
      </c>
      <c r="F262" t="s">
        <v>128</v>
      </c>
      <c r="G262" t="s">
        <v>424</v>
      </c>
      <c r="H262" t="s">
        <v>396</v>
      </c>
      <c r="I262" t="s">
        <v>441</v>
      </c>
      <c r="J262">
        <v>163</v>
      </c>
      <c r="K262">
        <v>3104</v>
      </c>
      <c r="L262">
        <v>505952</v>
      </c>
      <c r="M262" t="s">
        <v>170</v>
      </c>
      <c r="N262" t="b">
        <v>1</v>
      </c>
      <c r="O262">
        <v>0</v>
      </c>
    </row>
    <row r="263" spans="1:15" x14ac:dyDescent="0.35">
      <c r="A263" t="s">
        <v>706</v>
      </c>
      <c r="B263" t="s">
        <v>54</v>
      </c>
      <c r="C263" t="s">
        <v>52</v>
      </c>
      <c r="D263" t="s">
        <v>55</v>
      </c>
      <c r="E263" t="s">
        <v>180</v>
      </c>
      <c r="F263" t="s">
        <v>128</v>
      </c>
      <c r="G263" t="s">
        <v>282</v>
      </c>
      <c r="H263" t="s">
        <v>271</v>
      </c>
      <c r="I263" t="s">
        <v>382</v>
      </c>
      <c r="J263">
        <v>340</v>
      </c>
      <c r="K263">
        <v>45.36</v>
      </c>
      <c r="L263">
        <v>15422.4</v>
      </c>
      <c r="M263" t="s">
        <v>159</v>
      </c>
      <c r="N263" t="b">
        <v>0</v>
      </c>
      <c r="O263">
        <v>21</v>
      </c>
    </row>
    <row r="264" spans="1:15" x14ac:dyDescent="0.35">
      <c r="A264" t="s">
        <v>707</v>
      </c>
      <c r="B264" t="s">
        <v>39</v>
      </c>
      <c r="C264" t="s">
        <v>37</v>
      </c>
      <c r="D264" t="s">
        <v>40</v>
      </c>
      <c r="E264" t="s">
        <v>183</v>
      </c>
      <c r="F264" t="s">
        <v>130</v>
      </c>
      <c r="G264" t="s">
        <v>248</v>
      </c>
      <c r="H264" t="s">
        <v>708</v>
      </c>
      <c r="I264" t="s">
        <v>709</v>
      </c>
      <c r="J264">
        <v>232</v>
      </c>
      <c r="K264">
        <v>187.25</v>
      </c>
      <c r="L264">
        <v>43442</v>
      </c>
      <c r="M264" t="s">
        <v>146</v>
      </c>
      <c r="N264" t="b">
        <v>1</v>
      </c>
      <c r="O264">
        <v>0</v>
      </c>
    </row>
    <row r="265" spans="1:15" x14ac:dyDescent="0.35">
      <c r="A265" t="s">
        <v>710</v>
      </c>
      <c r="B265" t="s">
        <v>36</v>
      </c>
      <c r="C265" t="s">
        <v>37</v>
      </c>
      <c r="D265" t="s">
        <v>38</v>
      </c>
      <c r="E265" t="s">
        <v>183</v>
      </c>
      <c r="F265" t="s">
        <v>130</v>
      </c>
      <c r="G265" t="s">
        <v>711</v>
      </c>
      <c r="H265" t="s">
        <v>237</v>
      </c>
      <c r="I265" t="s">
        <v>148</v>
      </c>
      <c r="J265">
        <v>329</v>
      </c>
      <c r="K265">
        <v>190.75</v>
      </c>
      <c r="L265">
        <v>62756.75</v>
      </c>
      <c r="M265" t="s">
        <v>195</v>
      </c>
      <c r="N265" t="b">
        <v>1</v>
      </c>
      <c r="O265">
        <v>0</v>
      </c>
    </row>
    <row r="266" spans="1:15" x14ac:dyDescent="0.35">
      <c r="A266" t="s">
        <v>712</v>
      </c>
      <c r="B266" t="s">
        <v>34</v>
      </c>
      <c r="C266" t="s">
        <v>32</v>
      </c>
      <c r="D266" t="s">
        <v>35</v>
      </c>
      <c r="E266" t="s">
        <v>165</v>
      </c>
      <c r="F266" t="s">
        <v>127</v>
      </c>
      <c r="G266" t="s">
        <v>449</v>
      </c>
      <c r="H266" t="s">
        <v>382</v>
      </c>
      <c r="I266" t="s">
        <v>697</v>
      </c>
      <c r="J266">
        <v>150</v>
      </c>
      <c r="K266">
        <v>824.5</v>
      </c>
      <c r="L266">
        <v>123675</v>
      </c>
      <c r="M266" t="s">
        <v>195</v>
      </c>
      <c r="N266" t="b">
        <v>1</v>
      </c>
      <c r="O266">
        <v>0</v>
      </c>
    </row>
    <row r="267" spans="1:15" x14ac:dyDescent="0.35">
      <c r="A267" t="s">
        <v>713</v>
      </c>
      <c r="B267" t="s">
        <v>24</v>
      </c>
      <c r="C267" t="s">
        <v>22</v>
      </c>
      <c r="D267" t="s">
        <v>25</v>
      </c>
      <c r="E267" t="s">
        <v>143</v>
      </c>
      <c r="F267" t="s">
        <v>130</v>
      </c>
      <c r="G267" t="s">
        <v>224</v>
      </c>
      <c r="H267" t="s">
        <v>351</v>
      </c>
      <c r="I267" t="s">
        <v>513</v>
      </c>
      <c r="J267">
        <v>50</v>
      </c>
      <c r="K267">
        <v>209</v>
      </c>
      <c r="L267">
        <v>10450</v>
      </c>
      <c r="M267" t="s">
        <v>146</v>
      </c>
      <c r="N267" t="b">
        <v>1</v>
      </c>
      <c r="O267">
        <v>0</v>
      </c>
    </row>
    <row r="268" spans="1:15" x14ac:dyDescent="0.35">
      <c r="A268" t="s">
        <v>714</v>
      </c>
      <c r="B268" t="s">
        <v>11</v>
      </c>
      <c r="C268" t="s">
        <v>8</v>
      </c>
      <c r="D268" t="s">
        <v>12</v>
      </c>
      <c r="E268" t="s">
        <v>152</v>
      </c>
      <c r="F268" t="s">
        <v>129</v>
      </c>
      <c r="G268" t="s">
        <v>92</v>
      </c>
      <c r="H268" t="s">
        <v>111</v>
      </c>
      <c r="I268" t="s">
        <v>265</v>
      </c>
      <c r="J268">
        <v>261</v>
      </c>
      <c r="K268">
        <v>3104</v>
      </c>
      <c r="L268">
        <v>810144</v>
      </c>
      <c r="M268" t="s">
        <v>146</v>
      </c>
      <c r="N268" t="b">
        <v>1</v>
      </c>
      <c r="O268">
        <v>0</v>
      </c>
    </row>
    <row r="269" spans="1:15" x14ac:dyDescent="0.35">
      <c r="A269" t="s">
        <v>715</v>
      </c>
      <c r="B269" t="s">
        <v>11</v>
      </c>
      <c r="C269" t="s">
        <v>8</v>
      </c>
      <c r="D269" t="s">
        <v>12</v>
      </c>
      <c r="E269" t="s">
        <v>183</v>
      </c>
      <c r="F269" t="s">
        <v>130</v>
      </c>
      <c r="G269" t="s">
        <v>338</v>
      </c>
      <c r="H269" t="s">
        <v>283</v>
      </c>
      <c r="I269" t="s">
        <v>716</v>
      </c>
      <c r="J269">
        <v>262</v>
      </c>
      <c r="K269">
        <v>3104</v>
      </c>
      <c r="L269">
        <v>813248</v>
      </c>
      <c r="M269" t="s">
        <v>195</v>
      </c>
      <c r="N269" t="b">
        <v>1</v>
      </c>
      <c r="O269">
        <v>0</v>
      </c>
    </row>
    <row r="270" spans="1:15" x14ac:dyDescent="0.35">
      <c r="A270" t="s">
        <v>717</v>
      </c>
      <c r="B270" t="s">
        <v>19</v>
      </c>
      <c r="C270" t="s">
        <v>14</v>
      </c>
      <c r="D270" t="s">
        <v>20</v>
      </c>
      <c r="E270" t="s">
        <v>143</v>
      </c>
      <c r="F270" t="s">
        <v>130</v>
      </c>
      <c r="G270" t="s">
        <v>216</v>
      </c>
      <c r="H270" t="s">
        <v>416</v>
      </c>
      <c r="I270" t="s">
        <v>487</v>
      </c>
      <c r="J270">
        <v>381</v>
      </c>
      <c r="K270">
        <v>441.6</v>
      </c>
      <c r="L270">
        <v>168249.60000000001</v>
      </c>
      <c r="M270" t="s">
        <v>159</v>
      </c>
      <c r="N270" t="b">
        <v>0</v>
      </c>
      <c r="O270">
        <v>25</v>
      </c>
    </row>
    <row r="271" spans="1:15" x14ac:dyDescent="0.35">
      <c r="A271" t="s">
        <v>718</v>
      </c>
      <c r="B271" t="s">
        <v>39</v>
      </c>
      <c r="C271" t="s">
        <v>37</v>
      </c>
      <c r="D271" t="s">
        <v>40</v>
      </c>
      <c r="E271" t="s">
        <v>152</v>
      </c>
      <c r="F271" t="s">
        <v>128</v>
      </c>
      <c r="G271" t="s">
        <v>455</v>
      </c>
      <c r="H271" t="s">
        <v>312</v>
      </c>
      <c r="I271" t="s">
        <v>468</v>
      </c>
      <c r="J271">
        <v>116</v>
      </c>
      <c r="K271">
        <v>187.25</v>
      </c>
      <c r="L271">
        <v>21721</v>
      </c>
      <c r="M271" t="s">
        <v>170</v>
      </c>
      <c r="N271" t="b">
        <v>1</v>
      </c>
      <c r="O271">
        <v>0</v>
      </c>
    </row>
    <row r="272" spans="1:15" x14ac:dyDescent="0.35">
      <c r="A272" t="s">
        <v>719</v>
      </c>
      <c r="B272" t="s">
        <v>29</v>
      </c>
      <c r="C272" t="s">
        <v>27</v>
      </c>
      <c r="D272" t="s">
        <v>20</v>
      </c>
      <c r="E272" t="s">
        <v>152</v>
      </c>
      <c r="F272" t="s">
        <v>128</v>
      </c>
      <c r="G272" t="s">
        <v>577</v>
      </c>
      <c r="H272" t="s">
        <v>341</v>
      </c>
      <c r="I272" t="s">
        <v>642</v>
      </c>
      <c r="J272">
        <v>389</v>
      </c>
      <c r="K272">
        <v>90.25</v>
      </c>
      <c r="L272">
        <v>35107.25</v>
      </c>
      <c r="M272" t="s">
        <v>146</v>
      </c>
      <c r="N272" t="b">
        <v>1</v>
      </c>
      <c r="O272">
        <v>0</v>
      </c>
    </row>
    <row r="273" spans="1:15" x14ac:dyDescent="0.35">
      <c r="A273" t="s">
        <v>720</v>
      </c>
      <c r="B273" t="s">
        <v>31</v>
      </c>
      <c r="C273" t="s">
        <v>32</v>
      </c>
      <c r="D273" t="s">
        <v>33</v>
      </c>
      <c r="E273" t="s">
        <v>143</v>
      </c>
      <c r="F273" t="s">
        <v>127</v>
      </c>
      <c r="G273" t="s">
        <v>444</v>
      </c>
      <c r="H273" t="s">
        <v>361</v>
      </c>
      <c r="I273" t="s">
        <v>87</v>
      </c>
      <c r="J273">
        <v>210</v>
      </c>
      <c r="K273">
        <v>816</v>
      </c>
      <c r="L273">
        <v>171360</v>
      </c>
      <c r="M273" t="s">
        <v>146</v>
      </c>
      <c r="N273" t="b">
        <v>1</v>
      </c>
      <c r="O273">
        <v>0</v>
      </c>
    </row>
    <row r="274" spans="1:15" x14ac:dyDescent="0.35">
      <c r="A274" t="s">
        <v>721</v>
      </c>
      <c r="B274" t="s">
        <v>51</v>
      </c>
      <c r="C274" t="s">
        <v>52</v>
      </c>
      <c r="D274" t="s">
        <v>53</v>
      </c>
      <c r="E274" t="s">
        <v>165</v>
      </c>
      <c r="F274" t="s">
        <v>130</v>
      </c>
      <c r="G274" t="s">
        <v>190</v>
      </c>
      <c r="H274" t="s">
        <v>174</v>
      </c>
      <c r="I274" t="s">
        <v>304</v>
      </c>
      <c r="J274">
        <v>47</v>
      </c>
      <c r="K274">
        <v>44.1</v>
      </c>
      <c r="L274">
        <v>2072.6999999999998</v>
      </c>
      <c r="M274" t="s">
        <v>146</v>
      </c>
      <c r="N274" t="b">
        <v>1</v>
      </c>
      <c r="O274">
        <v>0</v>
      </c>
    </row>
    <row r="275" spans="1:15" x14ac:dyDescent="0.35">
      <c r="A275" t="s">
        <v>722</v>
      </c>
      <c r="B275" t="s">
        <v>31</v>
      </c>
      <c r="C275" t="s">
        <v>32</v>
      </c>
      <c r="D275" t="s">
        <v>33</v>
      </c>
      <c r="E275" t="s">
        <v>165</v>
      </c>
      <c r="F275" t="s">
        <v>129</v>
      </c>
      <c r="G275" t="s">
        <v>521</v>
      </c>
      <c r="H275" t="s">
        <v>235</v>
      </c>
      <c r="I275" t="s">
        <v>723</v>
      </c>
      <c r="J275">
        <v>116</v>
      </c>
      <c r="K275">
        <v>816</v>
      </c>
      <c r="L275">
        <v>94656</v>
      </c>
      <c r="M275" t="s">
        <v>159</v>
      </c>
      <c r="N275" t="b">
        <v>0</v>
      </c>
      <c r="O275">
        <v>11</v>
      </c>
    </row>
    <row r="276" spans="1:15" x14ac:dyDescent="0.35">
      <c r="A276" t="s">
        <v>724</v>
      </c>
      <c r="B276" t="s">
        <v>30</v>
      </c>
      <c r="C276" t="s">
        <v>27</v>
      </c>
      <c r="D276" t="s">
        <v>15</v>
      </c>
      <c r="E276" t="s">
        <v>152</v>
      </c>
      <c r="F276" t="s">
        <v>127</v>
      </c>
      <c r="G276" t="s">
        <v>716</v>
      </c>
      <c r="H276" t="s">
        <v>248</v>
      </c>
      <c r="I276" t="s">
        <v>379</v>
      </c>
      <c r="J276">
        <v>172</v>
      </c>
      <c r="K276">
        <v>102.6</v>
      </c>
      <c r="L276">
        <v>17647.2</v>
      </c>
      <c r="M276" t="s">
        <v>195</v>
      </c>
      <c r="N276" t="b">
        <v>1</v>
      </c>
      <c r="O276">
        <v>0</v>
      </c>
    </row>
    <row r="277" spans="1:15" x14ac:dyDescent="0.35">
      <c r="A277" t="s">
        <v>725</v>
      </c>
      <c r="B277" t="s">
        <v>31</v>
      </c>
      <c r="C277" t="s">
        <v>32</v>
      </c>
      <c r="D277" t="s">
        <v>33</v>
      </c>
      <c r="E277" t="s">
        <v>143</v>
      </c>
      <c r="F277" t="s">
        <v>128</v>
      </c>
      <c r="G277" t="s">
        <v>254</v>
      </c>
      <c r="H277" t="s">
        <v>332</v>
      </c>
      <c r="I277" t="s">
        <v>382</v>
      </c>
      <c r="J277">
        <v>343</v>
      </c>
      <c r="K277">
        <v>816</v>
      </c>
      <c r="L277">
        <v>279888</v>
      </c>
      <c r="M277" t="s">
        <v>170</v>
      </c>
      <c r="N277" t="b">
        <v>1</v>
      </c>
      <c r="O277">
        <v>0</v>
      </c>
    </row>
    <row r="278" spans="1:15" x14ac:dyDescent="0.35">
      <c r="A278" t="s">
        <v>726</v>
      </c>
      <c r="B278" t="s">
        <v>21</v>
      </c>
      <c r="C278" t="s">
        <v>22</v>
      </c>
      <c r="D278" t="s">
        <v>23</v>
      </c>
      <c r="E278" t="s">
        <v>152</v>
      </c>
      <c r="F278" t="s">
        <v>127</v>
      </c>
      <c r="G278" t="s">
        <v>213</v>
      </c>
      <c r="H278" t="s">
        <v>166</v>
      </c>
      <c r="I278" t="s">
        <v>583</v>
      </c>
      <c r="J278">
        <v>27</v>
      </c>
      <c r="K278">
        <v>200.2</v>
      </c>
      <c r="L278">
        <v>5405.4</v>
      </c>
      <c r="M278" t="s">
        <v>195</v>
      </c>
      <c r="N278" t="b">
        <v>1</v>
      </c>
      <c r="O278">
        <v>0</v>
      </c>
    </row>
    <row r="279" spans="1:15" x14ac:dyDescent="0.35">
      <c r="A279" t="s">
        <v>727</v>
      </c>
      <c r="B279" t="s">
        <v>34</v>
      </c>
      <c r="C279" t="s">
        <v>32</v>
      </c>
      <c r="D279" t="s">
        <v>35</v>
      </c>
      <c r="E279" t="s">
        <v>180</v>
      </c>
      <c r="F279" t="s">
        <v>130</v>
      </c>
      <c r="G279" t="s">
        <v>522</v>
      </c>
      <c r="H279" t="s">
        <v>316</v>
      </c>
      <c r="I279" t="s">
        <v>702</v>
      </c>
      <c r="J279">
        <v>257</v>
      </c>
      <c r="K279">
        <v>824.5</v>
      </c>
      <c r="L279">
        <v>211896.5</v>
      </c>
      <c r="M279" t="s">
        <v>170</v>
      </c>
      <c r="N279" t="b">
        <v>1</v>
      </c>
      <c r="O279">
        <v>0</v>
      </c>
    </row>
    <row r="280" spans="1:15" x14ac:dyDescent="0.35">
      <c r="A280" t="s">
        <v>728</v>
      </c>
      <c r="B280" t="s">
        <v>31</v>
      </c>
      <c r="C280" t="s">
        <v>32</v>
      </c>
      <c r="D280" t="s">
        <v>33</v>
      </c>
      <c r="E280" t="s">
        <v>143</v>
      </c>
      <c r="F280" t="s">
        <v>130</v>
      </c>
      <c r="G280" t="s">
        <v>407</v>
      </c>
      <c r="H280" t="s">
        <v>388</v>
      </c>
      <c r="I280" t="s">
        <v>522</v>
      </c>
      <c r="J280">
        <v>167</v>
      </c>
      <c r="K280">
        <v>816</v>
      </c>
      <c r="L280">
        <v>136272</v>
      </c>
      <c r="M280" t="s">
        <v>195</v>
      </c>
      <c r="N280" t="b">
        <v>1</v>
      </c>
      <c r="O280">
        <v>0</v>
      </c>
    </row>
    <row r="281" spans="1:15" x14ac:dyDescent="0.35">
      <c r="A281" t="s">
        <v>729</v>
      </c>
      <c r="B281" t="s">
        <v>17</v>
      </c>
      <c r="C281" t="s">
        <v>14</v>
      </c>
      <c r="D281" t="s">
        <v>18</v>
      </c>
      <c r="E281" t="s">
        <v>143</v>
      </c>
      <c r="F281" t="s">
        <v>128</v>
      </c>
      <c r="G281" t="s">
        <v>360</v>
      </c>
      <c r="H281" t="s">
        <v>211</v>
      </c>
      <c r="I281" t="s">
        <v>231</v>
      </c>
      <c r="J281">
        <v>203</v>
      </c>
      <c r="K281">
        <v>513.6</v>
      </c>
      <c r="L281">
        <v>104260.8</v>
      </c>
      <c r="M281" t="s">
        <v>159</v>
      </c>
      <c r="N281" t="b">
        <v>0</v>
      </c>
      <c r="O281">
        <v>27</v>
      </c>
    </row>
    <row r="282" spans="1:15" x14ac:dyDescent="0.35">
      <c r="A282" t="s">
        <v>730</v>
      </c>
      <c r="B282" t="s">
        <v>24</v>
      </c>
      <c r="C282" t="s">
        <v>22</v>
      </c>
      <c r="D282" t="s">
        <v>25</v>
      </c>
      <c r="E282" t="s">
        <v>180</v>
      </c>
      <c r="F282" t="s">
        <v>127</v>
      </c>
      <c r="G282" t="s">
        <v>731</v>
      </c>
      <c r="H282" t="s">
        <v>671</v>
      </c>
      <c r="I282" t="s">
        <v>521</v>
      </c>
      <c r="J282">
        <v>177</v>
      </c>
      <c r="K282">
        <v>209</v>
      </c>
      <c r="L282">
        <v>36993</v>
      </c>
      <c r="M282" t="s">
        <v>170</v>
      </c>
      <c r="N282" t="b">
        <v>1</v>
      </c>
      <c r="O282">
        <v>0</v>
      </c>
    </row>
    <row r="283" spans="1:15" x14ac:dyDescent="0.35">
      <c r="A283" t="s">
        <v>732</v>
      </c>
      <c r="B283" t="s">
        <v>31</v>
      </c>
      <c r="C283" t="s">
        <v>32</v>
      </c>
      <c r="D283" t="s">
        <v>33</v>
      </c>
      <c r="E283" t="s">
        <v>143</v>
      </c>
      <c r="F283" t="s">
        <v>127</v>
      </c>
      <c r="G283" t="s">
        <v>449</v>
      </c>
      <c r="H283" t="s">
        <v>283</v>
      </c>
      <c r="I283" t="s">
        <v>716</v>
      </c>
      <c r="J283">
        <v>107</v>
      </c>
      <c r="K283">
        <v>816</v>
      </c>
      <c r="L283">
        <v>87312</v>
      </c>
      <c r="M283" t="s">
        <v>195</v>
      </c>
      <c r="N283" t="b">
        <v>1</v>
      </c>
      <c r="O283">
        <v>0</v>
      </c>
    </row>
    <row r="284" spans="1:15" x14ac:dyDescent="0.35">
      <c r="A284" t="s">
        <v>733</v>
      </c>
      <c r="B284" t="s">
        <v>44</v>
      </c>
      <c r="C284" t="s">
        <v>45</v>
      </c>
      <c r="D284" t="s">
        <v>46</v>
      </c>
      <c r="E284" t="s">
        <v>165</v>
      </c>
      <c r="F284" t="s">
        <v>129</v>
      </c>
      <c r="G284" t="s">
        <v>250</v>
      </c>
      <c r="H284" t="s">
        <v>734</v>
      </c>
      <c r="I284" t="s">
        <v>549</v>
      </c>
      <c r="J284">
        <v>258</v>
      </c>
      <c r="K284">
        <v>31.92</v>
      </c>
      <c r="L284">
        <v>8235.36</v>
      </c>
      <c r="M284" t="s">
        <v>195</v>
      </c>
      <c r="N284" t="b">
        <v>1</v>
      </c>
      <c r="O284">
        <v>0</v>
      </c>
    </row>
    <row r="285" spans="1:15" x14ac:dyDescent="0.35">
      <c r="A285" t="s">
        <v>735</v>
      </c>
      <c r="B285" t="s">
        <v>7</v>
      </c>
      <c r="C285" t="s">
        <v>8</v>
      </c>
      <c r="D285" t="s">
        <v>9</v>
      </c>
      <c r="E285" t="s">
        <v>143</v>
      </c>
      <c r="F285" t="s">
        <v>129</v>
      </c>
      <c r="G285" t="s">
        <v>736</v>
      </c>
      <c r="H285" t="s">
        <v>279</v>
      </c>
      <c r="I285" t="s">
        <v>279</v>
      </c>
      <c r="J285">
        <v>213</v>
      </c>
      <c r="K285">
        <v>2976</v>
      </c>
      <c r="L285">
        <v>633888</v>
      </c>
      <c r="M285" t="s">
        <v>170</v>
      </c>
      <c r="N285" t="b">
        <v>1</v>
      </c>
      <c r="O285">
        <v>0</v>
      </c>
    </row>
    <row r="286" spans="1:15" x14ac:dyDescent="0.35">
      <c r="A286" t="s">
        <v>737</v>
      </c>
      <c r="B286" t="s">
        <v>24</v>
      </c>
      <c r="C286" t="s">
        <v>22</v>
      </c>
      <c r="D286" t="s">
        <v>25</v>
      </c>
      <c r="E286" t="s">
        <v>152</v>
      </c>
      <c r="F286" t="s">
        <v>127</v>
      </c>
      <c r="G286" t="s">
        <v>486</v>
      </c>
      <c r="H286" t="s">
        <v>441</v>
      </c>
      <c r="I286" t="s">
        <v>738</v>
      </c>
      <c r="J286">
        <v>93</v>
      </c>
      <c r="K286">
        <v>209</v>
      </c>
      <c r="L286">
        <v>19437</v>
      </c>
      <c r="M286" t="s">
        <v>159</v>
      </c>
      <c r="N286" t="b">
        <v>0</v>
      </c>
      <c r="O286">
        <v>22</v>
      </c>
    </row>
    <row r="287" spans="1:15" x14ac:dyDescent="0.35">
      <c r="A287" t="s">
        <v>739</v>
      </c>
      <c r="B287" t="s">
        <v>31</v>
      </c>
      <c r="C287" t="s">
        <v>32</v>
      </c>
      <c r="D287" t="s">
        <v>33</v>
      </c>
      <c r="E287" t="s">
        <v>183</v>
      </c>
      <c r="F287" t="s">
        <v>127</v>
      </c>
      <c r="G287" t="s">
        <v>87</v>
      </c>
      <c r="H287" t="s">
        <v>102</v>
      </c>
      <c r="I287" t="s">
        <v>440</v>
      </c>
      <c r="J287">
        <v>132</v>
      </c>
      <c r="K287">
        <v>816</v>
      </c>
      <c r="L287">
        <v>107712</v>
      </c>
      <c r="M287" t="s">
        <v>195</v>
      </c>
      <c r="N287" t="b">
        <v>1</v>
      </c>
      <c r="O287">
        <v>0</v>
      </c>
    </row>
    <row r="288" spans="1:15" x14ac:dyDescent="0.35">
      <c r="A288" t="s">
        <v>740</v>
      </c>
      <c r="B288" t="s">
        <v>24</v>
      </c>
      <c r="C288" t="s">
        <v>22</v>
      </c>
      <c r="D288" t="s">
        <v>25</v>
      </c>
      <c r="E288" t="s">
        <v>165</v>
      </c>
      <c r="F288" t="s">
        <v>128</v>
      </c>
      <c r="G288" t="s">
        <v>475</v>
      </c>
      <c r="H288" t="s">
        <v>329</v>
      </c>
      <c r="I288" t="s">
        <v>79</v>
      </c>
      <c r="J288">
        <v>295</v>
      </c>
      <c r="K288">
        <v>209</v>
      </c>
      <c r="L288">
        <v>61655</v>
      </c>
      <c r="M288" t="s">
        <v>159</v>
      </c>
      <c r="N288" t="b">
        <v>0</v>
      </c>
      <c r="O288">
        <v>27</v>
      </c>
    </row>
    <row r="289" spans="1:15" x14ac:dyDescent="0.35">
      <c r="A289" t="s">
        <v>741</v>
      </c>
      <c r="B289" t="s">
        <v>21</v>
      </c>
      <c r="C289" t="s">
        <v>22</v>
      </c>
      <c r="D289" t="s">
        <v>23</v>
      </c>
      <c r="E289" t="s">
        <v>152</v>
      </c>
      <c r="F289" t="s">
        <v>127</v>
      </c>
      <c r="G289" t="s">
        <v>84</v>
      </c>
      <c r="H289" t="s">
        <v>95</v>
      </c>
      <c r="I289" t="s">
        <v>95</v>
      </c>
      <c r="J289">
        <v>157</v>
      </c>
      <c r="K289">
        <v>200.2</v>
      </c>
      <c r="L289">
        <v>31431.4</v>
      </c>
      <c r="M289" t="s">
        <v>195</v>
      </c>
      <c r="N289" t="b">
        <v>1</v>
      </c>
      <c r="O289">
        <v>0</v>
      </c>
    </row>
    <row r="290" spans="1:15" x14ac:dyDescent="0.35">
      <c r="A290" t="s">
        <v>742</v>
      </c>
      <c r="B290" t="s">
        <v>41</v>
      </c>
      <c r="C290" t="s">
        <v>42</v>
      </c>
      <c r="D290" t="s">
        <v>23</v>
      </c>
      <c r="E290" t="s">
        <v>180</v>
      </c>
      <c r="F290" t="s">
        <v>129</v>
      </c>
      <c r="G290" t="s">
        <v>658</v>
      </c>
      <c r="H290" t="s">
        <v>591</v>
      </c>
      <c r="I290" t="s">
        <v>743</v>
      </c>
      <c r="J290">
        <v>279</v>
      </c>
      <c r="K290">
        <v>397.7</v>
      </c>
      <c r="L290">
        <v>110958.3</v>
      </c>
      <c r="M290" t="s">
        <v>170</v>
      </c>
      <c r="N290" t="b">
        <v>1</v>
      </c>
      <c r="O290">
        <v>0</v>
      </c>
    </row>
    <row r="291" spans="1:15" x14ac:dyDescent="0.35">
      <c r="A291" t="s">
        <v>744</v>
      </c>
      <c r="B291" t="s">
        <v>47</v>
      </c>
      <c r="C291" t="s">
        <v>45</v>
      </c>
      <c r="D291" t="s">
        <v>48</v>
      </c>
      <c r="E291" t="s">
        <v>165</v>
      </c>
      <c r="F291" t="s">
        <v>128</v>
      </c>
      <c r="G291" t="s">
        <v>80</v>
      </c>
      <c r="H291" t="s">
        <v>86</v>
      </c>
      <c r="I291" t="s">
        <v>418</v>
      </c>
      <c r="J291">
        <v>25</v>
      </c>
      <c r="K291">
        <v>26.04</v>
      </c>
      <c r="L291">
        <v>651</v>
      </c>
      <c r="M291" t="s">
        <v>146</v>
      </c>
      <c r="N291" t="b">
        <v>1</v>
      </c>
      <c r="O291">
        <v>0</v>
      </c>
    </row>
    <row r="292" spans="1:15" x14ac:dyDescent="0.35">
      <c r="A292" t="s">
        <v>745</v>
      </c>
      <c r="B292" t="s">
        <v>24</v>
      </c>
      <c r="C292" t="s">
        <v>22</v>
      </c>
      <c r="D292" t="s">
        <v>25</v>
      </c>
      <c r="E292" t="s">
        <v>152</v>
      </c>
      <c r="F292" t="s">
        <v>127</v>
      </c>
      <c r="G292" t="s">
        <v>412</v>
      </c>
      <c r="H292" t="s">
        <v>341</v>
      </c>
      <c r="I292" t="s">
        <v>230</v>
      </c>
      <c r="J292">
        <v>340</v>
      </c>
      <c r="K292">
        <v>209</v>
      </c>
      <c r="L292">
        <v>71060</v>
      </c>
      <c r="M292" t="s">
        <v>170</v>
      </c>
      <c r="N292" t="b">
        <v>1</v>
      </c>
      <c r="O292">
        <v>0</v>
      </c>
    </row>
    <row r="293" spans="1:15" x14ac:dyDescent="0.35">
      <c r="A293" t="s">
        <v>746</v>
      </c>
      <c r="B293" t="s">
        <v>17</v>
      </c>
      <c r="C293" t="s">
        <v>14</v>
      </c>
      <c r="D293" t="s">
        <v>18</v>
      </c>
      <c r="E293" t="s">
        <v>143</v>
      </c>
      <c r="F293" t="s">
        <v>130</v>
      </c>
      <c r="G293" t="s">
        <v>405</v>
      </c>
      <c r="H293" t="s">
        <v>588</v>
      </c>
      <c r="I293" t="s">
        <v>98</v>
      </c>
      <c r="J293">
        <v>133</v>
      </c>
      <c r="K293">
        <v>513.6</v>
      </c>
      <c r="L293">
        <v>68308.800000000003</v>
      </c>
      <c r="M293" t="s">
        <v>146</v>
      </c>
      <c r="N293" t="b">
        <v>1</v>
      </c>
      <c r="O293">
        <v>0</v>
      </c>
    </row>
    <row r="294" spans="1:15" x14ac:dyDescent="0.35">
      <c r="A294" t="s">
        <v>747</v>
      </c>
      <c r="B294" t="s">
        <v>26</v>
      </c>
      <c r="C294" t="s">
        <v>27</v>
      </c>
      <c r="D294" t="s">
        <v>28</v>
      </c>
      <c r="E294" t="s">
        <v>183</v>
      </c>
      <c r="F294" t="s">
        <v>128</v>
      </c>
      <c r="G294" t="s">
        <v>242</v>
      </c>
      <c r="H294" t="s">
        <v>564</v>
      </c>
      <c r="I294" t="s">
        <v>467</v>
      </c>
      <c r="J294">
        <v>178</v>
      </c>
      <c r="K294">
        <v>99.75</v>
      </c>
      <c r="L294">
        <v>17755.5</v>
      </c>
      <c r="M294" t="s">
        <v>195</v>
      </c>
      <c r="N294" t="b">
        <v>1</v>
      </c>
      <c r="O294">
        <v>0</v>
      </c>
    </row>
    <row r="295" spans="1:15" x14ac:dyDescent="0.35">
      <c r="A295" t="s">
        <v>748</v>
      </c>
      <c r="B295" t="s">
        <v>36</v>
      </c>
      <c r="C295" t="s">
        <v>37</v>
      </c>
      <c r="D295" t="s">
        <v>38</v>
      </c>
      <c r="E295" t="s">
        <v>143</v>
      </c>
      <c r="F295" t="s">
        <v>129</v>
      </c>
      <c r="G295" t="s">
        <v>444</v>
      </c>
      <c r="H295" t="s">
        <v>230</v>
      </c>
      <c r="I295" t="s">
        <v>230</v>
      </c>
      <c r="J295">
        <v>227</v>
      </c>
      <c r="K295">
        <v>190.75</v>
      </c>
      <c r="L295">
        <v>43300.25</v>
      </c>
      <c r="M295" t="s">
        <v>195</v>
      </c>
      <c r="N295" t="b">
        <v>1</v>
      </c>
      <c r="O295">
        <v>0</v>
      </c>
    </row>
    <row r="296" spans="1:15" x14ac:dyDescent="0.35">
      <c r="A296" t="s">
        <v>749</v>
      </c>
      <c r="B296" t="s">
        <v>47</v>
      </c>
      <c r="C296" t="s">
        <v>45</v>
      </c>
      <c r="D296" t="s">
        <v>48</v>
      </c>
      <c r="E296" t="s">
        <v>180</v>
      </c>
      <c r="F296" t="s">
        <v>127</v>
      </c>
      <c r="G296" t="s">
        <v>427</v>
      </c>
      <c r="H296" t="s">
        <v>375</v>
      </c>
      <c r="I296" t="s">
        <v>375</v>
      </c>
      <c r="J296">
        <v>369</v>
      </c>
      <c r="K296">
        <v>26.04</v>
      </c>
      <c r="L296">
        <v>9608.76</v>
      </c>
      <c r="M296" t="s">
        <v>170</v>
      </c>
      <c r="N296" t="b">
        <v>1</v>
      </c>
      <c r="O296">
        <v>0</v>
      </c>
    </row>
    <row r="297" spans="1:15" x14ac:dyDescent="0.35">
      <c r="A297" t="s">
        <v>750</v>
      </c>
      <c r="B297" t="s">
        <v>17</v>
      </c>
      <c r="C297" t="s">
        <v>14</v>
      </c>
      <c r="D297" t="s">
        <v>18</v>
      </c>
      <c r="E297" t="s">
        <v>143</v>
      </c>
      <c r="F297" t="s">
        <v>130</v>
      </c>
      <c r="G297" t="s">
        <v>339</v>
      </c>
      <c r="H297" t="s">
        <v>751</v>
      </c>
      <c r="I297" t="s">
        <v>613</v>
      </c>
      <c r="J297">
        <v>260</v>
      </c>
      <c r="K297">
        <v>513.6</v>
      </c>
      <c r="L297">
        <v>133536</v>
      </c>
      <c r="M297" t="s">
        <v>195</v>
      </c>
      <c r="N297" t="b">
        <v>1</v>
      </c>
      <c r="O297">
        <v>0</v>
      </c>
    </row>
    <row r="298" spans="1:15" x14ac:dyDescent="0.35">
      <c r="A298" t="s">
        <v>752</v>
      </c>
      <c r="B298" t="s">
        <v>36</v>
      </c>
      <c r="C298" t="s">
        <v>37</v>
      </c>
      <c r="D298" t="s">
        <v>38</v>
      </c>
      <c r="E298" t="s">
        <v>152</v>
      </c>
      <c r="F298" t="s">
        <v>129</v>
      </c>
      <c r="G298" t="s">
        <v>455</v>
      </c>
      <c r="H298" t="s">
        <v>434</v>
      </c>
      <c r="I298" t="s">
        <v>263</v>
      </c>
      <c r="J298">
        <v>291</v>
      </c>
      <c r="K298">
        <v>190.75</v>
      </c>
      <c r="L298">
        <v>55508.25</v>
      </c>
      <c r="M298" t="s">
        <v>170</v>
      </c>
      <c r="N298" t="b">
        <v>1</v>
      </c>
      <c r="O298">
        <v>0</v>
      </c>
    </row>
    <row r="299" spans="1:15" x14ac:dyDescent="0.35">
      <c r="A299" t="s">
        <v>753</v>
      </c>
      <c r="B299" t="s">
        <v>36</v>
      </c>
      <c r="C299" t="s">
        <v>37</v>
      </c>
      <c r="D299" t="s">
        <v>38</v>
      </c>
      <c r="E299" t="s">
        <v>165</v>
      </c>
      <c r="F299" t="s">
        <v>129</v>
      </c>
      <c r="G299" t="s">
        <v>312</v>
      </c>
      <c r="H299" t="s">
        <v>754</v>
      </c>
      <c r="I299" t="s">
        <v>225</v>
      </c>
      <c r="J299">
        <v>375</v>
      </c>
      <c r="K299">
        <v>190.75</v>
      </c>
      <c r="L299">
        <v>71531.25</v>
      </c>
      <c r="M299" t="s">
        <v>159</v>
      </c>
      <c r="N299" t="b">
        <v>0</v>
      </c>
      <c r="O299">
        <v>25</v>
      </c>
    </row>
    <row r="300" spans="1:15" x14ac:dyDescent="0.35">
      <c r="A300" t="s">
        <v>755</v>
      </c>
      <c r="B300" t="s">
        <v>41</v>
      </c>
      <c r="C300" t="s">
        <v>42</v>
      </c>
      <c r="D300" t="s">
        <v>23</v>
      </c>
      <c r="E300" t="s">
        <v>183</v>
      </c>
      <c r="F300" t="s">
        <v>129</v>
      </c>
      <c r="G300" t="s">
        <v>756</v>
      </c>
      <c r="H300" t="s">
        <v>418</v>
      </c>
      <c r="I300" t="s">
        <v>178</v>
      </c>
      <c r="J300">
        <v>40</v>
      </c>
      <c r="K300">
        <v>397.7</v>
      </c>
      <c r="L300">
        <v>15908</v>
      </c>
      <c r="M300" t="s">
        <v>170</v>
      </c>
      <c r="N300" t="b">
        <v>1</v>
      </c>
      <c r="O300">
        <v>0</v>
      </c>
    </row>
    <row r="301" spans="1:15" x14ac:dyDescent="0.35">
      <c r="A301" t="s">
        <v>757</v>
      </c>
      <c r="B301" t="s">
        <v>26</v>
      </c>
      <c r="C301" t="s">
        <v>27</v>
      </c>
      <c r="D301" t="s">
        <v>28</v>
      </c>
      <c r="E301" t="s">
        <v>165</v>
      </c>
      <c r="F301" t="s">
        <v>130</v>
      </c>
      <c r="G301" t="s">
        <v>75</v>
      </c>
      <c r="H301" t="s">
        <v>85</v>
      </c>
      <c r="I301" t="s">
        <v>284</v>
      </c>
      <c r="J301">
        <v>120</v>
      </c>
      <c r="K301">
        <v>99.75</v>
      </c>
      <c r="L301">
        <v>11970</v>
      </c>
      <c r="M301" t="s">
        <v>195</v>
      </c>
      <c r="N301" t="b">
        <v>1</v>
      </c>
      <c r="O301">
        <v>0</v>
      </c>
    </row>
    <row r="302" spans="1:15" x14ac:dyDescent="0.35">
      <c r="A302" t="s">
        <v>758</v>
      </c>
      <c r="B302" t="s">
        <v>17</v>
      </c>
      <c r="C302" t="s">
        <v>14</v>
      </c>
      <c r="D302" t="s">
        <v>18</v>
      </c>
      <c r="E302" t="s">
        <v>183</v>
      </c>
      <c r="F302" t="s">
        <v>127</v>
      </c>
      <c r="G302" t="s">
        <v>86</v>
      </c>
      <c r="H302" t="s">
        <v>96</v>
      </c>
      <c r="I302" t="s">
        <v>245</v>
      </c>
      <c r="J302">
        <v>236</v>
      </c>
      <c r="K302">
        <v>513.6</v>
      </c>
      <c r="L302">
        <v>121209.60000000001</v>
      </c>
      <c r="M302" t="s">
        <v>146</v>
      </c>
      <c r="N302" t="b">
        <v>1</v>
      </c>
      <c r="O302">
        <v>0</v>
      </c>
    </row>
    <row r="303" spans="1:15" x14ac:dyDescent="0.35">
      <c r="A303" t="s">
        <v>759</v>
      </c>
      <c r="B303" t="s">
        <v>39</v>
      </c>
      <c r="C303" t="s">
        <v>37</v>
      </c>
      <c r="D303" t="s">
        <v>40</v>
      </c>
      <c r="E303" t="s">
        <v>180</v>
      </c>
      <c r="F303" t="s">
        <v>130</v>
      </c>
      <c r="G303" t="s">
        <v>257</v>
      </c>
      <c r="H303" t="s">
        <v>184</v>
      </c>
      <c r="I303" t="s">
        <v>99</v>
      </c>
      <c r="J303">
        <v>135</v>
      </c>
      <c r="K303">
        <v>187.25</v>
      </c>
      <c r="L303">
        <v>25278.75</v>
      </c>
      <c r="M303" t="s">
        <v>195</v>
      </c>
      <c r="N303" t="b">
        <v>1</v>
      </c>
      <c r="O303">
        <v>0</v>
      </c>
    </row>
    <row r="304" spans="1:15" x14ac:dyDescent="0.35">
      <c r="A304" t="s">
        <v>760</v>
      </c>
      <c r="B304" t="s">
        <v>13</v>
      </c>
      <c r="C304" t="s">
        <v>14</v>
      </c>
      <c r="D304" t="s">
        <v>15</v>
      </c>
      <c r="E304" t="s">
        <v>180</v>
      </c>
      <c r="F304" t="s">
        <v>129</v>
      </c>
      <c r="G304" t="s">
        <v>443</v>
      </c>
      <c r="H304" t="s">
        <v>761</v>
      </c>
      <c r="I304" t="s">
        <v>575</v>
      </c>
      <c r="J304">
        <v>128</v>
      </c>
      <c r="K304">
        <v>446.4</v>
      </c>
      <c r="L304">
        <v>57139.199999999997</v>
      </c>
      <c r="M304" t="s">
        <v>146</v>
      </c>
      <c r="N304" t="b">
        <v>1</v>
      </c>
      <c r="O304">
        <v>0</v>
      </c>
    </row>
    <row r="305" spans="1:15" x14ac:dyDescent="0.35">
      <c r="A305" t="s">
        <v>762</v>
      </c>
      <c r="B305" t="s">
        <v>31</v>
      </c>
      <c r="C305" t="s">
        <v>32</v>
      </c>
      <c r="D305" t="s">
        <v>33</v>
      </c>
      <c r="E305" t="s">
        <v>165</v>
      </c>
      <c r="F305" t="s">
        <v>130</v>
      </c>
      <c r="G305" t="s">
        <v>763</v>
      </c>
      <c r="H305" t="s">
        <v>357</v>
      </c>
      <c r="I305" t="s">
        <v>544</v>
      </c>
      <c r="J305">
        <v>103</v>
      </c>
      <c r="K305">
        <v>816</v>
      </c>
      <c r="L305">
        <v>84048</v>
      </c>
      <c r="M305" t="s">
        <v>146</v>
      </c>
      <c r="N305" t="b">
        <v>1</v>
      </c>
      <c r="O305">
        <v>0</v>
      </c>
    </row>
    <row r="306" spans="1:15" x14ac:dyDescent="0.35">
      <c r="A306" t="s">
        <v>764</v>
      </c>
      <c r="B306" t="s">
        <v>7</v>
      </c>
      <c r="C306" t="s">
        <v>8</v>
      </c>
      <c r="D306" t="s">
        <v>9</v>
      </c>
      <c r="E306" t="s">
        <v>152</v>
      </c>
      <c r="F306" t="s">
        <v>129</v>
      </c>
      <c r="G306" t="s">
        <v>181</v>
      </c>
      <c r="H306" t="s">
        <v>308</v>
      </c>
      <c r="I306" t="s">
        <v>308</v>
      </c>
      <c r="J306">
        <v>98</v>
      </c>
      <c r="K306">
        <v>2976</v>
      </c>
      <c r="L306">
        <v>291648</v>
      </c>
      <c r="M306" t="s">
        <v>146</v>
      </c>
      <c r="N306" t="b">
        <v>1</v>
      </c>
      <c r="O306">
        <v>0</v>
      </c>
    </row>
    <row r="307" spans="1:15" x14ac:dyDescent="0.35">
      <c r="A307" t="s">
        <v>765</v>
      </c>
      <c r="B307" t="s">
        <v>44</v>
      </c>
      <c r="C307" t="s">
        <v>45</v>
      </c>
      <c r="D307" t="s">
        <v>46</v>
      </c>
      <c r="E307" t="s">
        <v>180</v>
      </c>
      <c r="F307" t="s">
        <v>128</v>
      </c>
      <c r="G307" t="s">
        <v>766</v>
      </c>
      <c r="H307" t="s">
        <v>767</v>
      </c>
      <c r="I307" t="s">
        <v>71</v>
      </c>
      <c r="J307">
        <v>84</v>
      </c>
      <c r="K307">
        <v>31.92</v>
      </c>
      <c r="L307">
        <v>2681.28</v>
      </c>
      <c r="M307" t="s">
        <v>146</v>
      </c>
      <c r="N307" t="b">
        <v>1</v>
      </c>
      <c r="O307">
        <v>0</v>
      </c>
    </row>
    <row r="308" spans="1:15" x14ac:dyDescent="0.35">
      <c r="A308" t="s">
        <v>768</v>
      </c>
      <c r="B308" t="s">
        <v>26</v>
      </c>
      <c r="C308" t="s">
        <v>27</v>
      </c>
      <c r="D308" t="s">
        <v>28</v>
      </c>
      <c r="E308" t="s">
        <v>143</v>
      </c>
      <c r="F308" t="s">
        <v>129</v>
      </c>
      <c r="G308" t="s">
        <v>688</v>
      </c>
      <c r="H308" t="s">
        <v>230</v>
      </c>
      <c r="I308" t="s">
        <v>331</v>
      </c>
      <c r="J308">
        <v>77</v>
      </c>
      <c r="K308">
        <v>99.75</v>
      </c>
      <c r="L308">
        <v>7680.75</v>
      </c>
      <c r="M308" t="s">
        <v>195</v>
      </c>
      <c r="N308" t="b">
        <v>1</v>
      </c>
      <c r="O308">
        <v>0</v>
      </c>
    </row>
    <row r="309" spans="1:15" x14ac:dyDescent="0.35">
      <c r="A309" t="s">
        <v>769</v>
      </c>
      <c r="B309" t="s">
        <v>21</v>
      </c>
      <c r="C309" t="s">
        <v>22</v>
      </c>
      <c r="D309" t="s">
        <v>23</v>
      </c>
      <c r="E309" t="s">
        <v>143</v>
      </c>
      <c r="F309" t="s">
        <v>129</v>
      </c>
      <c r="G309" t="s">
        <v>438</v>
      </c>
      <c r="H309" t="s">
        <v>623</v>
      </c>
      <c r="I309" t="s">
        <v>568</v>
      </c>
      <c r="J309">
        <v>132</v>
      </c>
      <c r="K309">
        <v>200.2</v>
      </c>
      <c r="L309">
        <v>26426.400000000001</v>
      </c>
      <c r="M309" t="s">
        <v>170</v>
      </c>
      <c r="N309" t="b">
        <v>1</v>
      </c>
      <c r="O309">
        <v>0</v>
      </c>
    </row>
    <row r="310" spans="1:15" x14ac:dyDescent="0.35">
      <c r="A310" t="s">
        <v>770</v>
      </c>
      <c r="B310" t="s">
        <v>39</v>
      </c>
      <c r="C310" t="s">
        <v>37</v>
      </c>
      <c r="D310" t="s">
        <v>40</v>
      </c>
      <c r="E310" t="s">
        <v>180</v>
      </c>
      <c r="F310" t="s">
        <v>128</v>
      </c>
      <c r="G310" t="s">
        <v>271</v>
      </c>
      <c r="H310" t="s">
        <v>424</v>
      </c>
      <c r="I310" t="s">
        <v>424</v>
      </c>
      <c r="J310">
        <v>250</v>
      </c>
      <c r="K310">
        <v>187.25</v>
      </c>
      <c r="L310">
        <v>46812.5</v>
      </c>
      <c r="M310" t="s">
        <v>195</v>
      </c>
      <c r="N310" t="b">
        <v>1</v>
      </c>
      <c r="O310">
        <v>0</v>
      </c>
    </row>
    <row r="311" spans="1:15" x14ac:dyDescent="0.35">
      <c r="A311" t="s">
        <v>771</v>
      </c>
      <c r="B311" t="s">
        <v>39</v>
      </c>
      <c r="C311" t="s">
        <v>37</v>
      </c>
      <c r="D311" t="s">
        <v>40</v>
      </c>
      <c r="E311" t="s">
        <v>183</v>
      </c>
      <c r="F311" t="s">
        <v>127</v>
      </c>
      <c r="G311" t="s">
        <v>521</v>
      </c>
      <c r="H311" t="s">
        <v>751</v>
      </c>
      <c r="I311" t="s">
        <v>563</v>
      </c>
      <c r="J311">
        <v>32</v>
      </c>
      <c r="K311">
        <v>187.25</v>
      </c>
      <c r="L311">
        <v>5992</v>
      </c>
      <c r="M311" t="s">
        <v>159</v>
      </c>
      <c r="N311" t="b">
        <v>0</v>
      </c>
      <c r="O311">
        <v>10</v>
      </c>
    </row>
    <row r="312" spans="1:15" x14ac:dyDescent="0.35">
      <c r="A312" t="s">
        <v>772</v>
      </c>
      <c r="B312" t="s">
        <v>24</v>
      </c>
      <c r="C312" t="s">
        <v>22</v>
      </c>
      <c r="D312" t="s">
        <v>25</v>
      </c>
      <c r="E312" t="s">
        <v>180</v>
      </c>
      <c r="F312" t="s">
        <v>127</v>
      </c>
      <c r="G312" t="s">
        <v>691</v>
      </c>
      <c r="H312" t="s">
        <v>773</v>
      </c>
      <c r="I312" t="s">
        <v>773</v>
      </c>
      <c r="J312">
        <v>163</v>
      </c>
      <c r="K312">
        <v>209</v>
      </c>
      <c r="L312">
        <v>34067</v>
      </c>
      <c r="M312" t="s">
        <v>146</v>
      </c>
      <c r="N312" t="b">
        <v>1</v>
      </c>
      <c r="O312">
        <v>0</v>
      </c>
    </row>
    <row r="313" spans="1:15" x14ac:dyDescent="0.35">
      <c r="A313" t="s">
        <v>774</v>
      </c>
      <c r="B313" t="s">
        <v>47</v>
      </c>
      <c r="C313" t="s">
        <v>45</v>
      </c>
      <c r="D313" t="s">
        <v>48</v>
      </c>
      <c r="E313" t="s">
        <v>165</v>
      </c>
      <c r="F313" t="s">
        <v>129</v>
      </c>
      <c r="G313" t="s">
        <v>462</v>
      </c>
      <c r="H313" t="s">
        <v>382</v>
      </c>
      <c r="I313" t="s">
        <v>191</v>
      </c>
      <c r="J313">
        <v>338</v>
      </c>
      <c r="K313">
        <v>26.04</v>
      </c>
      <c r="L313">
        <v>8801.52</v>
      </c>
      <c r="M313" t="s">
        <v>159</v>
      </c>
      <c r="N313" t="b">
        <v>0</v>
      </c>
      <c r="O313">
        <v>16</v>
      </c>
    </row>
    <row r="314" spans="1:15" x14ac:dyDescent="0.35">
      <c r="A314" t="s">
        <v>775</v>
      </c>
      <c r="B314" t="s">
        <v>7</v>
      </c>
      <c r="C314" t="s">
        <v>8</v>
      </c>
      <c r="D314" t="s">
        <v>9</v>
      </c>
      <c r="E314" t="s">
        <v>165</v>
      </c>
      <c r="F314" t="s">
        <v>129</v>
      </c>
      <c r="G314" t="s">
        <v>451</v>
      </c>
      <c r="H314" t="s">
        <v>501</v>
      </c>
      <c r="I314" t="s">
        <v>618</v>
      </c>
      <c r="J314">
        <v>266</v>
      </c>
      <c r="K314">
        <v>2976</v>
      </c>
      <c r="L314">
        <v>791616</v>
      </c>
      <c r="M314" t="s">
        <v>159</v>
      </c>
      <c r="N314" t="b">
        <v>0</v>
      </c>
      <c r="O314">
        <v>7</v>
      </c>
    </row>
    <row r="315" spans="1:15" x14ac:dyDescent="0.35">
      <c r="A315" t="s">
        <v>776</v>
      </c>
      <c r="B315" t="s">
        <v>24</v>
      </c>
      <c r="C315" t="s">
        <v>22</v>
      </c>
      <c r="D315" t="s">
        <v>25</v>
      </c>
      <c r="E315" t="s">
        <v>143</v>
      </c>
      <c r="F315" t="s">
        <v>127</v>
      </c>
      <c r="G315" t="s">
        <v>91</v>
      </c>
      <c r="H315" t="s">
        <v>99</v>
      </c>
      <c r="I315" t="s">
        <v>272</v>
      </c>
      <c r="J315">
        <v>225</v>
      </c>
      <c r="K315">
        <v>209</v>
      </c>
      <c r="L315">
        <v>47025</v>
      </c>
      <c r="M315" t="s">
        <v>159</v>
      </c>
      <c r="N315" t="b">
        <v>0</v>
      </c>
      <c r="O315">
        <v>20</v>
      </c>
    </row>
    <row r="316" spans="1:15" x14ac:dyDescent="0.35">
      <c r="A316" t="s">
        <v>777</v>
      </c>
      <c r="B316" t="s">
        <v>54</v>
      </c>
      <c r="C316" t="s">
        <v>52</v>
      </c>
      <c r="D316" t="s">
        <v>55</v>
      </c>
      <c r="E316" t="s">
        <v>165</v>
      </c>
      <c r="F316" t="s">
        <v>128</v>
      </c>
      <c r="G316" t="s">
        <v>541</v>
      </c>
      <c r="H316" t="s">
        <v>503</v>
      </c>
      <c r="I316" t="s">
        <v>468</v>
      </c>
      <c r="J316">
        <v>195</v>
      </c>
      <c r="K316">
        <v>45.36</v>
      </c>
      <c r="L316">
        <v>8845.2000000000007</v>
      </c>
      <c r="M316" t="s">
        <v>146</v>
      </c>
      <c r="N316" t="b">
        <v>1</v>
      </c>
      <c r="O316">
        <v>0</v>
      </c>
    </row>
    <row r="317" spans="1:15" x14ac:dyDescent="0.35">
      <c r="A317" t="s">
        <v>778</v>
      </c>
      <c r="B317" t="s">
        <v>21</v>
      </c>
      <c r="C317" t="s">
        <v>22</v>
      </c>
      <c r="D317" t="s">
        <v>23</v>
      </c>
      <c r="E317" t="s">
        <v>152</v>
      </c>
      <c r="F317" t="s">
        <v>127</v>
      </c>
      <c r="G317" t="s">
        <v>249</v>
      </c>
      <c r="H317" t="s">
        <v>618</v>
      </c>
      <c r="I317" t="s">
        <v>525</v>
      </c>
      <c r="J317">
        <v>74</v>
      </c>
      <c r="K317">
        <v>200.2</v>
      </c>
      <c r="L317">
        <v>14814.8</v>
      </c>
      <c r="M317" t="s">
        <v>159</v>
      </c>
      <c r="N317" t="b">
        <v>0</v>
      </c>
      <c r="O317">
        <v>21</v>
      </c>
    </row>
    <row r="318" spans="1:15" x14ac:dyDescent="0.35">
      <c r="A318" t="s">
        <v>779</v>
      </c>
      <c r="B318" t="s">
        <v>34</v>
      </c>
      <c r="C318" t="s">
        <v>32</v>
      </c>
      <c r="D318" t="s">
        <v>35</v>
      </c>
      <c r="E318" t="s">
        <v>183</v>
      </c>
      <c r="F318" t="s">
        <v>130</v>
      </c>
      <c r="G318" t="s">
        <v>97</v>
      </c>
      <c r="H318" t="s">
        <v>113</v>
      </c>
      <c r="I318" t="s">
        <v>228</v>
      </c>
      <c r="J318">
        <v>98</v>
      </c>
      <c r="K318">
        <v>824.5</v>
      </c>
      <c r="L318">
        <v>80801</v>
      </c>
      <c r="M318" t="s">
        <v>195</v>
      </c>
      <c r="N318" t="b">
        <v>1</v>
      </c>
      <c r="O318">
        <v>0</v>
      </c>
    </row>
    <row r="319" spans="1:15" x14ac:dyDescent="0.35">
      <c r="A319" t="s">
        <v>780</v>
      </c>
      <c r="B319" t="s">
        <v>34</v>
      </c>
      <c r="C319" t="s">
        <v>32</v>
      </c>
      <c r="D319" t="s">
        <v>35</v>
      </c>
      <c r="E319" t="s">
        <v>183</v>
      </c>
      <c r="F319" t="s">
        <v>129</v>
      </c>
      <c r="G319" t="s">
        <v>564</v>
      </c>
      <c r="H319" t="s">
        <v>457</v>
      </c>
      <c r="I319" t="s">
        <v>781</v>
      </c>
      <c r="J319">
        <v>194</v>
      </c>
      <c r="K319">
        <v>824.5</v>
      </c>
      <c r="L319">
        <v>159953</v>
      </c>
      <c r="M319" t="s">
        <v>170</v>
      </c>
      <c r="N319" t="b">
        <v>1</v>
      </c>
      <c r="O319">
        <v>0</v>
      </c>
    </row>
    <row r="320" spans="1:15" x14ac:dyDescent="0.35">
      <c r="A320" t="s">
        <v>782</v>
      </c>
      <c r="B320" t="s">
        <v>26</v>
      </c>
      <c r="C320" t="s">
        <v>27</v>
      </c>
      <c r="D320" t="s">
        <v>28</v>
      </c>
      <c r="E320" t="s">
        <v>152</v>
      </c>
      <c r="F320" t="s">
        <v>130</v>
      </c>
      <c r="G320" t="s">
        <v>783</v>
      </c>
      <c r="H320" t="s">
        <v>329</v>
      </c>
      <c r="I320" t="s">
        <v>784</v>
      </c>
      <c r="J320">
        <v>204</v>
      </c>
      <c r="K320">
        <v>99.75</v>
      </c>
      <c r="L320">
        <v>20349</v>
      </c>
      <c r="M320" t="s">
        <v>159</v>
      </c>
      <c r="N320" t="b">
        <v>0</v>
      </c>
      <c r="O320">
        <v>10</v>
      </c>
    </row>
    <row r="321" spans="1:15" x14ac:dyDescent="0.35">
      <c r="A321" t="s">
        <v>785</v>
      </c>
      <c r="B321" t="s">
        <v>44</v>
      </c>
      <c r="C321" t="s">
        <v>45</v>
      </c>
      <c r="D321" t="s">
        <v>46</v>
      </c>
      <c r="E321" t="s">
        <v>152</v>
      </c>
      <c r="F321" t="s">
        <v>130</v>
      </c>
      <c r="G321" t="s">
        <v>673</v>
      </c>
      <c r="H321" t="s">
        <v>481</v>
      </c>
      <c r="I321" t="s">
        <v>481</v>
      </c>
      <c r="J321">
        <v>334</v>
      </c>
      <c r="K321">
        <v>31.92</v>
      </c>
      <c r="L321">
        <v>10661.28</v>
      </c>
      <c r="M321" t="s">
        <v>195</v>
      </c>
      <c r="N321" t="b">
        <v>1</v>
      </c>
      <c r="O321">
        <v>0</v>
      </c>
    </row>
    <row r="322" spans="1:15" x14ac:dyDescent="0.35">
      <c r="A322" t="s">
        <v>786</v>
      </c>
      <c r="B322" t="s">
        <v>39</v>
      </c>
      <c r="C322" t="s">
        <v>37</v>
      </c>
      <c r="D322" t="s">
        <v>40</v>
      </c>
      <c r="E322" t="s">
        <v>165</v>
      </c>
      <c r="F322" t="s">
        <v>128</v>
      </c>
      <c r="G322" t="s">
        <v>574</v>
      </c>
      <c r="H322" t="s">
        <v>385</v>
      </c>
      <c r="I322" t="s">
        <v>522</v>
      </c>
      <c r="J322">
        <v>191</v>
      </c>
      <c r="K322">
        <v>187.25</v>
      </c>
      <c r="L322">
        <v>35764.75</v>
      </c>
      <c r="M322" t="s">
        <v>195</v>
      </c>
      <c r="N322" t="b">
        <v>1</v>
      </c>
      <c r="O322">
        <v>0</v>
      </c>
    </row>
    <row r="323" spans="1:15" x14ac:dyDescent="0.35">
      <c r="A323" t="s">
        <v>787</v>
      </c>
      <c r="B323" t="s">
        <v>39</v>
      </c>
      <c r="C323" t="s">
        <v>37</v>
      </c>
      <c r="D323" t="s">
        <v>40</v>
      </c>
      <c r="E323" t="s">
        <v>183</v>
      </c>
      <c r="F323" t="s">
        <v>127</v>
      </c>
      <c r="G323" t="s">
        <v>272</v>
      </c>
      <c r="H323" t="s">
        <v>265</v>
      </c>
      <c r="I323" t="s">
        <v>532</v>
      </c>
      <c r="J323">
        <v>236</v>
      </c>
      <c r="K323">
        <v>187.25</v>
      </c>
      <c r="L323">
        <v>44191</v>
      </c>
      <c r="M323" t="s">
        <v>146</v>
      </c>
      <c r="N323" t="b">
        <v>1</v>
      </c>
      <c r="O323">
        <v>0</v>
      </c>
    </row>
    <row r="324" spans="1:15" x14ac:dyDescent="0.35">
      <c r="A324" t="s">
        <v>788</v>
      </c>
      <c r="B324" t="s">
        <v>34</v>
      </c>
      <c r="C324" t="s">
        <v>32</v>
      </c>
      <c r="D324" t="s">
        <v>35</v>
      </c>
      <c r="E324" t="s">
        <v>165</v>
      </c>
      <c r="F324" t="s">
        <v>128</v>
      </c>
      <c r="G324" t="s">
        <v>190</v>
      </c>
      <c r="H324" t="s">
        <v>215</v>
      </c>
      <c r="I324" t="s">
        <v>169</v>
      </c>
      <c r="J324">
        <v>58</v>
      </c>
      <c r="K324">
        <v>824.5</v>
      </c>
      <c r="L324">
        <v>47821</v>
      </c>
      <c r="M324" t="s">
        <v>170</v>
      </c>
      <c r="N324" t="b">
        <v>1</v>
      </c>
      <c r="O324">
        <v>0</v>
      </c>
    </row>
    <row r="325" spans="1:15" x14ac:dyDescent="0.35">
      <c r="A325" t="s">
        <v>789</v>
      </c>
      <c r="B325" t="s">
        <v>26</v>
      </c>
      <c r="C325" t="s">
        <v>27</v>
      </c>
      <c r="D325" t="s">
        <v>28</v>
      </c>
      <c r="E325" t="s">
        <v>165</v>
      </c>
      <c r="F325" t="s">
        <v>128</v>
      </c>
      <c r="G325" t="s">
        <v>320</v>
      </c>
      <c r="H325" t="s">
        <v>249</v>
      </c>
      <c r="I325" t="s">
        <v>301</v>
      </c>
      <c r="J325">
        <v>315</v>
      </c>
      <c r="K325">
        <v>99.75</v>
      </c>
      <c r="L325">
        <v>31421.25</v>
      </c>
      <c r="M325" t="s">
        <v>170</v>
      </c>
      <c r="N325" t="b">
        <v>1</v>
      </c>
      <c r="O325">
        <v>0</v>
      </c>
    </row>
    <row r="326" spans="1:15" x14ac:dyDescent="0.35">
      <c r="A326" t="s">
        <v>790</v>
      </c>
      <c r="B326" t="s">
        <v>34</v>
      </c>
      <c r="C326" t="s">
        <v>32</v>
      </c>
      <c r="D326" t="s">
        <v>35</v>
      </c>
      <c r="E326" t="s">
        <v>180</v>
      </c>
      <c r="F326" t="s">
        <v>128</v>
      </c>
      <c r="G326" t="s">
        <v>626</v>
      </c>
      <c r="H326" t="s">
        <v>157</v>
      </c>
      <c r="I326" t="s">
        <v>284</v>
      </c>
      <c r="J326">
        <v>274</v>
      </c>
      <c r="K326">
        <v>824.5</v>
      </c>
      <c r="L326">
        <v>225913</v>
      </c>
      <c r="M326" t="s">
        <v>146</v>
      </c>
      <c r="N326" t="b">
        <v>1</v>
      </c>
      <c r="O326">
        <v>0</v>
      </c>
    </row>
    <row r="327" spans="1:15" x14ac:dyDescent="0.35">
      <c r="A327" t="s">
        <v>791</v>
      </c>
      <c r="B327" t="s">
        <v>13</v>
      </c>
      <c r="C327" t="s">
        <v>14</v>
      </c>
      <c r="D327" t="s">
        <v>15</v>
      </c>
      <c r="E327" t="s">
        <v>183</v>
      </c>
      <c r="F327" t="s">
        <v>130</v>
      </c>
      <c r="G327" t="s">
        <v>158</v>
      </c>
      <c r="H327" t="s">
        <v>678</v>
      </c>
      <c r="I327" t="s">
        <v>488</v>
      </c>
      <c r="J327">
        <v>115</v>
      </c>
      <c r="K327">
        <v>446.4</v>
      </c>
      <c r="L327">
        <v>51336</v>
      </c>
      <c r="M327" t="s">
        <v>159</v>
      </c>
      <c r="N327" t="b">
        <v>0</v>
      </c>
      <c r="O327">
        <v>21</v>
      </c>
    </row>
    <row r="328" spans="1:15" x14ac:dyDescent="0.35">
      <c r="A328" t="s">
        <v>792</v>
      </c>
      <c r="B328" t="s">
        <v>49</v>
      </c>
      <c r="C328" t="s">
        <v>50</v>
      </c>
      <c r="D328" t="s">
        <v>33</v>
      </c>
      <c r="E328" t="s">
        <v>152</v>
      </c>
      <c r="F328" t="s">
        <v>129</v>
      </c>
      <c r="G328" t="s">
        <v>68</v>
      </c>
      <c r="H328" t="s">
        <v>81</v>
      </c>
      <c r="I328" t="s">
        <v>168</v>
      </c>
      <c r="J328">
        <v>330</v>
      </c>
      <c r="K328">
        <v>59.8</v>
      </c>
      <c r="L328">
        <v>19734</v>
      </c>
      <c r="M328" t="s">
        <v>170</v>
      </c>
      <c r="N328" t="b">
        <v>1</v>
      </c>
      <c r="O328">
        <v>0</v>
      </c>
    </row>
    <row r="329" spans="1:15" x14ac:dyDescent="0.35">
      <c r="A329" t="s">
        <v>793</v>
      </c>
      <c r="B329" t="s">
        <v>26</v>
      </c>
      <c r="C329" t="s">
        <v>27</v>
      </c>
      <c r="D329" t="s">
        <v>28</v>
      </c>
      <c r="E329" t="s">
        <v>152</v>
      </c>
      <c r="F329" t="s">
        <v>129</v>
      </c>
      <c r="G329" t="s">
        <v>794</v>
      </c>
      <c r="H329" t="s">
        <v>153</v>
      </c>
      <c r="I329" t="s">
        <v>79</v>
      </c>
      <c r="J329">
        <v>322</v>
      </c>
      <c r="K329">
        <v>99.75</v>
      </c>
      <c r="L329">
        <v>32119.5</v>
      </c>
      <c r="M329" t="s">
        <v>159</v>
      </c>
      <c r="N329" t="b">
        <v>0</v>
      </c>
      <c r="O329">
        <v>11</v>
      </c>
    </row>
    <row r="330" spans="1:15" x14ac:dyDescent="0.35">
      <c r="A330" t="s">
        <v>795</v>
      </c>
      <c r="B330" t="s">
        <v>30</v>
      </c>
      <c r="C330" t="s">
        <v>27</v>
      </c>
      <c r="D330" t="s">
        <v>15</v>
      </c>
      <c r="E330" t="s">
        <v>180</v>
      </c>
      <c r="F330" t="s">
        <v>127</v>
      </c>
      <c r="G330" t="s">
        <v>521</v>
      </c>
      <c r="H330" t="s">
        <v>796</v>
      </c>
      <c r="I330" t="s">
        <v>209</v>
      </c>
      <c r="J330">
        <v>224</v>
      </c>
      <c r="K330">
        <v>102.6</v>
      </c>
      <c r="L330">
        <v>22982.400000000001</v>
      </c>
      <c r="M330" t="s">
        <v>195</v>
      </c>
      <c r="N330" t="b">
        <v>1</v>
      </c>
      <c r="O330">
        <v>0</v>
      </c>
    </row>
    <row r="331" spans="1:15" x14ac:dyDescent="0.35">
      <c r="A331" t="s">
        <v>797</v>
      </c>
      <c r="B331" t="s">
        <v>47</v>
      </c>
      <c r="C331" t="s">
        <v>45</v>
      </c>
      <c r="D331" t="s">
        <v>48</v>
      </c>
      <c r="E331" t="s">
        <v>180</v>
      </c>
      <c r="F331" t="s">
        <v>130</v>
      </c>
      <c r="G331" t="s">
        <v>78</v>
      </c>
      <c r="H331" t="s">
        <v>84</v>
      </c>
      <c r="I331" t="s">
        <v>84</v>
      </c>
      <c r="J331">
        <v>178</v>
      </c>
      <c r="K331">
        <v>26.04</v>
      </c>
      <c r="L331">
        <v>4635.12</v>
      </c>
      <c r="M331" t="s">
        <v>195</v>
      </c>
      <c r="N331" t="b">
        <v>1</v>
      </c>
      <c r="O331">
        <v>0</v>
      </c>
    </row>
    <row r="332" spans="1:15" x14ac:dyDescent="0.35">
      <c r="A332" t="s">
        <v>798</v>
      </c>
      <c r="B332" t="s">
        <v>29</v>
      </c>
      <c r="C332" t="s">
        <v>27</v>
      </c>
      <c r="D332" t="s">
        <v>20</v>
      </c>
      <c r="E332" t="s">
        <v>152</v>
      </c>
      <c r="F332" t="s">
        <v>129</v>
      </c>
      <c r="G332" t="s">
        <v>545</v>
      </c>
      <c r="H332" t="s">
        <v>162</v>
      </c>
      <c r="I332" t="s">
        <v>579</v>
      </c>
      <c r="J332">
        <v>29</v>
      </c>
      <c r="K332">
        <v>90.25</v>
      </c>
      <c r="L332">
        <v>2617.25</v>
      </c>
      <c r="M332" t="s">
        <v>195</v>
      </c>
      <c r="N332" t="b">
        <v>1</v>
      </c>
      <c r="O332">
        <v>0</v>
      </c>
    </row>
    <row r="333" spans="1:15" x14ac:dyDescent="0.35">
      <c r="A333" t="s">
        <v>799</v>
      </c>
      <c r="B333" t="s">
        <v>51</v>
      </c>
      <c r="C333" t="s">
        <v>52</v>
      </c>
      <c r="D333" t="s">
        <v>53</v>
      </c>
      <c r="E333" t="s">
        <v>180</v>
      </c>
      <c r="F333" t="s">
        <v>130</v>
      </c>
      <c r="G333" t="s">
        <v>177</v>
      </c>
      <c r="H333" t="s">
        <v>154</v>
      </c>
      <c r="I333" t="s">
        <v>245</v>
      </c>
      <c r="J333">
        <v>52</v>
      </c>
      <c r="K333">
        <v>44.1</v>
      </c>
      <c r="L333">
        <v>2293.1999999999998</v>
      </c>
      <c r="M333" t="s">
        <v>159</v>
      </c>
      <c r="N333" t="b">
        <v>0</v>
      </c>
      <c r="O333">
        <v>24</v>
      </c>
    </row>
    <row r="334" spans="1:15" x14ac:dyDescent="0.35">
      <c r="A334" t="s">
        <v>800</v>
      </c>
      <c r="B334" t="s">
        <v>17</v>
      </c>
      <c r="C334" t="s">
        <v>14</v>
      </c>
      <c r="D334" t="s">
        <v>18</v>
      </c>
      <c r="E334" t="s">
        <v>165</v>
      </c>
      <c r="F334" t="s">
        <v>127</v>
      </c>
      <c r="G334" t="s">
        <v>191</v>
      </c>
      <c r="H334" t="s">
        <v>184</v>
      </c>
      <c r="I334" t="s">
        <v>468</v>
      </c>
      <c r="J334">
        <v>40</v>
      </c>
      <c r="K334">
        <v>513.6</v>
      </c>
      <c r="L334">
        <v>20544</v>
      </c>
      <c r="M334" t="s">
        <v>159</v>
      </c>
      <c r="N334" t="b">
        <v>0</v>
      </c>
      <c r="O334">
        <v>16</v>
      </c>
    </row>
    <row r="335" spans="1:15" x14ac:dyDescent="0.35">
      <c r="A335" t="s">
        <v>801</v>
      </c>
      <c r="B335" t="s">
        <v>30</v>
      </c>
      <c r="C335" t="s">
        <v>27</v>
      </c>
      <c r="D335" t="s">
        <v>15</v>
      </c>
      <c r="E335" t="s">
        <v>152</v>
      </c>
      <c r="F335" t="s">
        <v>128</v>
      </c>
      <c r="G335" t="s">
        <v>711</v>
      </c>
      <c r="H335" t="s">
        <v>582</v>
      </c>
      <c r="I335" t="s">
        <v>276</v>
      </c>
      <c r="J335">
        <v>232</v>
      </c>
      <c r="K335">
        <v>102.6</v>
      </c>
      <c r="L335">
        <v>23803.200000000001</v>
      </c>
      <c r="M335" t="s">
        <v>170</v>
      </c>
      <c r="N335" t="b">
        <v>1</v>
      </c>
      <c r="O335">
        <v>0</v>
      </c>
    </row>
    <row r="336" spans="1:15" x14ac:dyDescent="0.35">
      <c r="A336" t="s">
        <v>802</v>
      </c>
      <c r="B336" t="s">
        <v>47</v>
      </c>
      <c r="C336" t="s">
        <v>45</v>
      </c>
      <c r="D336" t="s">
        <v>48</v>
      </c>
      <c r="E336" t="s">
        <v>165</v>
      </c>
      <c r="F336" t="s">
        <v>130</v>
      </c>
      <c r="G336" t="s">
        <v>388</v>
      </c>
      <c r="H336" t="s">
        <v>177</v>
      </c>
      <c r="I336" t="s">
        <v>209</v>
      </c>
      <c r="J336">
        <v>96</v>
      </c>
      <c r="K336">
        <v>26.04</v>
      </c>
      <c r="L336">
        <v>2499.84</v>
      </c>
      <c r="M336" t="s">
        <v>146</v>
      </c>
      <c r="N336" t="b">
        <v>1</v>
      </c>
      <c r="O336">
        <v>0</v>
      </c>
    </row>
    <row r="337" spans="1:15" x14ac:dyDescent="0.35">
      <c r="A337" t="s">
        <v>803</v>
      </c>
      <c r="B337" t="s">
        <v>51</v>
      </c>
      <c r="C337" t="s">
        <v>52</v>
      </c>
      <c r="D337" t="s">
        <v>53</v>
      </c>
      <c r="E337" t="s">
        <v>183</v>
      </c>
      <c r="F337" t="s">
        <v>130</v>
      </c>
      <c r="G337" t="s">
        <v>482</v>
      </c>
      <c r="H337" t="s">
        <v>468</v>
      </c>
      <c r="I337" t="s">
        <v>708</v>
      </c>
      <c r="J337">
        <v>89</v>
      </c>
      <c r="K337">
        <v>44.1</v>
      </c>
      <c r="L337">
        <v>3924.9</v>
      </c>
      <c r="M337" t="s">
        <v>159</v>
      </c>
      <c r="N337" t="b">
        <v>0</v>
      </c>
      <c r="O337">
        <v>28</v>
      </c>
    </row>
    <row r="338" spans="1:15" x14ac:dyDescent="0.35">
      <c r="A338" t="s">
        <v>804</v>
      </c>
      <c r="B338" t="s">
        <v>21</v>
      </c>
      <c r="C338" t="s">
        <v>22</v>
      </c>
      <c r="D338" t="s">
        <v>23</v>
      </c>
      <c r="E338" t="s">
        <v>143</v>
      </c>
      <c r="F338" t="s">
        <v>128</v>
      </c>
      <c r="G338" t="s">
        <v>621</v>
      </c>
      <c r="H338" t="s">
        <v>639</v>
      </c>
      <c r="I338" t="s">
        <v>528</v>
      </c>
      <c r="J338">
        <v>394</v>
      </c>
      <c r="K338">
        <v>200.2</v>
      </c>
      <c r="L338">
        <v>78878.8</v>
      </c>
      <c r="M338" t="s">
        <v>170</v>
      </c>
      <c r="N338" t="b">
        <v>1</v>
      </c>
      <c r="O338">
        <v>0</v>
      </c>
    </row>
    <row r="339" spans="1:15" x14ac:dyDescent="0.35">
      <c r="A339" t="s">
        <v>805</v>
      </c>
      <c r="B339" t="s">
        <v>7</v>
      </c>
      <c r="C339" t="s">
        <v>8</v>
      </c>
      <c r="D339" t="s">
        <v>9</v>
      </c>
      <c r="E339" t="s">
        <v>180</v>
      </c>
      <c r="F339" t="s">
        <v>130</v>
      </c>
      <c r="G339" t="s">
        <v>426</v>
      </c>
      <c r="H339" t="s">
        <v>545</v>
      </c>
      <c r="I339" t="s">
        <v>91</v>
      </c>
      <c r="J339">
        <v>258</v>
      </c>
      <c r="K339">
        <v>2976</v>
      </c>
      <c r="L339">
        <v>767808</v>
      </c>
      <c r="M339" t="s">
        <v>159</v>
      </c>
      <c r="N339" t="b">
        <v>0</v>
      </c>
      <c r="O339">
        <v>20</v>
      </c>
    </row>
    <row r="340" spans="1:15" x14ac:dyDescent="0.35">
      <c r="A340" t="s">
        <v>806</v>
      </c>
      <c r="B340" t="s">
        <v>41</v>
      </c>
      <c r="C340" t="s">
        <v>42</v>
      </c>
      <c r="D340" t="s">
        <v>23</v>
      </c>
      <c r="E340" t="s">
        <v>165</v>
      </c>
      <c r="F340" t="s">
        <v>130</v>
      </c>
      <c r="G340" t="s">
        <v>327</v>
      </c>
      <c r="H340" t="s">
        <v>376</v>
      </c>
      <c r="I340" t="s">
        <v>315</v>
      </c>
      <c r="J340">
        <v>307</v>
      </c>
      <c r="K340">
        <v>397.7</v>
      </c>
      <c r="L340">
        <v>122093.9</v>
      </c>
      <c r="M340" t="s">
        <v>170</v>
      </c>
      <c r="N340" t="b">
        <v>1</v>
      </c>
      <c r="O340">
        <v>0</v>
      </c>
    </row>
    <row r="341" spans="1:15" x14ac:dyDescent="0.35">
      <c r="A341" t="s">
        <v>807</v>
      </c>
      <c r="B341" t="s">
        <v>49</v>
      </c>
      <c r="C341" t="s">
        <v>50</v>
      </c>
      <c r="D341" t="s">
        <v>33</v>
      </c>
      <c r="E341" t="s">
        <v>183</v>
      </c>
      <c r="F341" t="s">
        <v>130</v>
      </c>
      <c r="G341" t="s">
        <v>385</v>
      </c>
      <c r="H341" t="s">
        <v>154</v>
      </c>
      <c r="I341" t="s">
        <v>93</v>
      </c>
      <c r="J341">
        <v>28</v>
      </c>
      <c r="K341">
        <v>59.8</v>
      </c>
      <c r="L341">
        <v>1674.4</v>
      </c>
      <c r="M341" t="s">
        <v>195</v>
      </c>
      <c r="N341" t="b">
        <v>1</v>
      </c>
      <c r="O341">
        <v>0</v>
      </c>
    </row>
    <row r="342" spans="1:15" x14ac:dyDescent="0.35">
      <c r="A342" t="s">
        <v>808</v>
      </c>
      <c r="B342" t="s">
        <v>49</v>
      </c>
      <c r="C342" t="s">
        <v>50</v>
      </c>
      <c r="D342" t="s">
        <v>33</v>
      </c>
      <c r="E342" t="s">
        <v>180</v>
      </c>
      <c r="F342" t="s">
        <v>130</v>
      </c>
      <c r="G342" t="s">
        <v>216</v>
      </c>
      <c r="H342" t="s">
        <v>692</v>
      </c>
      <c r="I342" t="s">
        <v>113</v>
      </c>
      <c r="J342">
        <v>320</v>
      </c>
      <c r="K342">
        <v>59.8</v>
      </c>
      <c r="L342">
        <v>19136</v>
      </c>
      <c r="M342" t="s">
        <v>170</v>
      </c>
      <c r="N342" t="b">
        <v>1</v>
      </c>
      <c r="O342">
        <v>0</v>
      </c>
    </row>
    <row r="343" spans="1:15" x14ac:dyDescent="0.35">
      <c r="A343" t="s">
        <v>809</v>
      </c>
      <c r="B343" t="s">
        <v>31</v>
      </c>
      <c r="C343" t="s">
        <v>32</v>
      </c>
      <c r="D343" t="s">
        <v>33</v>
      </c>
      <c r="E343" t="s">
        <v>143</v>
      </c>
      <c r="F343" t="s">
        <v>127</v>
      </c>
      <c r="G343" t="s">
        <v>249</v>
      </c>
      <c r="H343" t="s">
        <v>198</v>
      </c>
      <c r="I343" t="s">
        <v>198</v>
      </c>
      <c r="J343">
        <v>82</v>
      </c>
      <c r="K343">
        <v>816</v>
      </c>
      <c r="L343">
        <v>66912</v>
      </c>
      <c r="M343" t="s">
        <v>195</v>
      </c>
      <c r="N343" t="b">
        <v>1</v>
      </c>
      <c r="O343">
        <v>0</v>
      </c>
    </row>
    <row r="344" spans="1:15" x14ac:dyDescent="0.35">
      <c r="A344" t="s">
        <v>810</v>
      </c>
      <c r="B344" t="s">
        <v>24</v>
      </c>
      <c r="C344" t="s">
        <v>22</v>
      </c>
      <c r="D344" t="s">
        <v>25</v>
      </c>
      <c r="E344" t="s">
        <v>143</v>
      </c>
      <c r="F344" t="s">
        <v>130</v>
      </c>
      <c r="G344" t="s">
        <v>671</v>
      </c>
      <c r="H344" t="s">
        <v>811</v>
      </c>
      <c r="I344" t="s">
        <v>168</v>
      </c>
      <c r="J344">
        <v>168</v>
      </c>
      <c r="K344">
        <v>209</v>
      </c>
      <c r="L344">
        <v>35112</v>
      </c>
      <c r="M344" t="s">
        <v>170</v>
      </c>
      <c r="N344" t="b">
        <v>1</v>
      </c>
      <c r="O344">
        <v>0</v>
      </c>
    </row>
    <row r="345" spans="1:15" x14ac:dyDescent="0.35">
      <c r="A345" t="s">
        <v>812</v>
      </c>
      <c r="B345" t="s">
        <v>39</v>
      </c>
      <c r="C345" t="s">
        <v>37</v>
      </c>
      <c r="D345" t="s">
        <v>40</v>
      </c>
      <c r="E345" t="s">
        <v>165</v>
      </c>
      <c r="F345" t="s">
        <v>127</v>
      </c>
      <c r="G345" t="s">
        <v>508</v>
      </c>
      <c r="H345" t="s">
        <v>388</v>
      </c>
      <c r="I345" t="s">
        <v>639</v>
      </c>
      <c r="J345">
        <v>364</v>
      </c>
      <c r="K345">
        <v>187.25</v>
      </c>
      <c r="L345">
        <v>68159</v>
      </c>
      <c r="M345" t="s">
        <v>195</v>
      </c>
      <c r="N345" t="b">
        <v>1</v>
      </c>
      <c r="O345">
        <v>0</v>
      </c>
    </row>
    <row r="346" spans="1:15" x14ac:dyDescent="0.35">
      <c r="A346" t="s">
        <v>813</v>
      </c>
      <c r="B346" t="s">
        <v>39</v>
      </c>
      <c r="C346" t="s">
        <v>37</v>
      </c>
      <c r="D346" t="s">
        <v>40</v>
      </c>
      <c r="E346" t="s">
        <v>165</v>
      </c>
      <c r="F346" t="s">
        <v>127</v>
      </c>
      <c r="G346" t="s">
        <v>373</v>
      </c>
      <c r="H346" t="s">
        <v>738</v>
      </c>
      <c r="I346" t="s">
        <v>416</v>
      </c>
      <c r="J346">
        <v>200</v>
      </c>
      <c r="K346">
        <v>187.25</v>
      </c>
      <c r="L346">
        <v>37450</v>
      </c>
      <c r="M346" t="s">
        <v>195</v>
      </c>
      <c r="N346" t="b">
        <v>1</v>
      </c>
      <c r="O346">
        <v>0</v>
      </c>
    </row>
    <row r="347" spans="1:15" x14ac:dyDescent="0.35">
      <c r="A347" t="s">
        <v>814</v>
      </c>
      <c r="B347" t="s">
        <v>36</v>
      </c>
      <c r="C347" t="s">
        <v>37</v>
      </c>
      <c r="D347" t="s">
        <v>38</v>
      </c>
      <c r="E347" t="s">
        <v>152</v>
      </c>
      <c r="F347" t="s">
        <v>127</v>
      </c>
      <c r="G347" t="s">
        <v>498</v>
      </c>
      <c r="H347" t="s">
        <v>658</v>
      </c>
      <c r="I347" t="s">
        <v>249</v>
      </c>
      <c r="J347">
        <v>318</v>
      </c>
      <c r="K347">
        <v>190.75</v>
      </c>
      <c r="L347">
        <v>60658.5</v>
      </c>
      <c r="M347" t="s">
        <v>195</v>
      </c>
      <c r="N347" t="b">
        <v>1</v>
      </c>
      <c r="O347">
        <v>0</v>
      </c>
    </row>
    <row r="348" spans="1:15" x14ac:dyDescent="0.35">
      <c r="A348" t="s">
        <v>815</v>
      </c>
      <c r="B348" t="s">
        <v>49</v>
      </c>
      <c r="C348" t="s">
        <v>50</v>
      </c>
      <c r="D348" t="s">
        <v>33</v>
      </c>
      <c r="E348" t="s">
        <v>152</v>
      </c>
      <c r="F348" t="s">
        <v>129</v>
      </c>
      <c r="G348" t="s">
        <v>279</v>
      </c>
      <c r="H348" t="s">
        <v>193</v>
      </c>
      <c r="I348" t="s">
        <v>503</v>
      </c>
      <c r="J348">
        <v>173</v>
      </c>
      <c r="K348">
        <v>59.8</v>
      </c>
      <c r="L348">
        <v>10345.4</v>
      </c>
      <c r="M348" t="s">
        <v>146</v>
      </c>
      <c r="N348" t="b">
        <v>1</v>
      </c>
      <c r="O348">
        <v>0</v>
      </c>
    </row>
    <row r="349" spans="1:15" x14ac:dyDescent="0.35">
      <c r="A349" t="s">
        <v>816</v>
      </c>
      <c r="B349" t="s">
        <v>54</v>
      </c>
      <c r="C349" t="s">
        <v>52</v>
      </c>
      <c r="D349" t="s">
        <v>55</v>
      </c>
      <c r="E349" t="s">
        <v>165</v>
      </c>
      <c r="F349" t="s">
        <v>127</v>
      </c>
      <c r="G349" t="s">
        <v>284</v>
      </c>
      <c r="H349" t="s">
        <v>433</v>
      </c>
      <c r="I349" t="s">
        <v>711</v>
      </c>
      <c r="J349">
        <v>158</v>
      </c>
      <c r="K349">
        <v>45.36</v>
      </c>
      <c r="L349">
        <v>7166.88</v>
      </c>
      <c r="M349" t="s">
        <v>146</v>
      </c>
      <c r="N349" t="b">
        <v>1</v>
      </c>
      <c r="O349">
        <v>0</v>
      </c>
    </row>
    <row r="350" spans="1:15" x14ac:dyDescent="0.35">
      <c r="A350" t="s">
        <v>817</v>
      </c>
      <c r="B350" t="s">
        <v>41</v>
      </c>
      <c r="C350" t="s">
        <v>42</v>
      </c>
      <c r="D350" t="s">
        <v>23</v>
      </c>
      <c r="E350" t="s">
        <v>165</v>
      </c>
      <c r="F350" t="s">
        <v>130</v>
      </c>
      <c r="G350" t="s">
        <v>364</v>
      </c>
      <c r="H350" t="s">
        <v>287</v>
      </c>
      <c r="I350" t="s">
        <v>94</v>
      </c>
      <c r="J350">
        <v>174</v>
      </c>
      <c r="K350">
        <v>397.7</v>
      </c>
      <c r="L350">
        <v>69199.8</v>
      </c>
      <c r="M350" t="s">
        <v>195</v>
      </c>
      <c r="N350" t="b">
        <v>1</v>
      </c>
      <c r="O350">
        <v>0</v>
      </c>
    </row>
    <row r="351" spans="1:15" x14ac:dyDescent="0.35">
      <c r="A351" t="s">
        <v>818</v>
      </c>
      <c r="B351" t="s">
        <v>7</v>
      </c>
      <c r="C351" t="s">
        <v>8</v>
      </c>
      <c r="D351" t="s">
        <v>9</v>
      </c>
      <c r="E351" t="s">
        <v>183</v>
      </c>
      <c r="F351" t="s">
        <v>127</v>
      </c>
      <c r="G351" t="s">
        <v>819</v>
      </c>
      <c r="H351" t="s">
        <v>820</v>
      </c>
      <c r="I351" t="s">
        <v>821</v>
      </c>
      <c r="J351">
        <v>64</v>
      </c>
      <c r="K351">
        <v>2976</v>
      </c>
      <c r="L351">
        <v>190464</v>
      </c>
      <c r="M351" t="s">
        <v>159</v>
      </c>
      <c r="N351" t="b">
        <v>0</v>
      </c>
      <c r="O351">
        <v>23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1"/>
  <sheetViews>
    <sheetView workbookViewId="0">
      <selection sqref="A1:I121"/>
    </sheetView>
  </sheetViews>
  <sheetFormatPr defaultRowHeight="14.5" x14ac:dyDescent="0.35"/>
  <cols>
    <col min="1" max="1" width="20.453125" bestFit="1" customWidth="1"/>
    <col min="2" max="2" width="8.453125" customWidth="1"/>
    <col min="3" max="3" width="19" bestFit="1" customWidth="1"/>
    <col min="4" max="4" width="14.6328125" customWidth="1"/>
    <col min="5" max="5" width="13.08984375" customWidth="1"/>
    <col min="6" max="6" width="11.1796875" bestFit="1" customWidth="1"/>
    <col min="7" max="7" width="15.08984375" customWidth="1"/>
    <col min="8" max="8" width="17.54296875" customWidth="1"/>
    <col min="9" max="9" width="14.36328125" customWidth="1"/>
  </cols>
  <sheetData>
    <row r="1" spans="1:9" x14ac:dyDescent="0.35">
      <c r="A1" t="s">
        <v>57</v>
      </c>
      <c r="B1" t="s">
        <v>119</v>
      </c>
      <c r="C1" t="s">
        <v>822</v>
      </c>
      <c r="D1" t="s">
        <v>823</v>
      </c>
      <c r="E1" t="s">
        <v>824</v>
      </c>
      <c r="F1" t="s">
        <v>139</v>
      </c>
      <c r="G1" t="s">
        <v>825</v>
      </c>
      <c r="H1" t="s">
        <v>826</v>
      </c>
      <c r="I1" t="s">
        <v>827</v>
      </c>
    </row>
    <row r="2" spans="1:9" x14ac:dyDescent="0.35">
      <c r="A2" t="s">
        <v>63</v>
      </c>
      <c r="B2" t="s">
        <v>127</v>
      </c>
      <c r="C2" t="s">
        <v>828</v>
      </c>
      <c r="D2" t="s">
        <v>682</v>
      </c>
      <c r="E2" t="s">
        <v>783</v>
      </c>
      <c r="F2" t="s">
        <v>829</v>
      </c>
      <c r="G2">
        <v>6</v>
      </c>
      <c r="H2">
        <v>92</v>
      </c>
      <c r="I2" t="b">
        <v>1</v>
      </c>
    </row>
    <row r="3" spans="1:9" x14ac:dyDescent="0.35">
      <c r="A3" t="s">
        <v>63</v>
      </c>
      <c r="B3" t="s">
        <v>127</v>
      </c>
      <c r="C3" t="s">
        <v>830</v>
      </c>
      <c r="D3" t="s">
        <v>831</v>
      </c>
      <c r="E3" t="s">
        <v>626</v>
      </c>
      <c r="F3" t="s">
        <v>829</v>
      </c>
      <c r="G3">
        <v>2</v>
      </c>
      <c r="H3">
        <v>92</v>
      </c>
      <c r="I3" t="b">
        <v>1</v>
      </c>
    </row>
    <row r="4" spans="1:9" x14ac:dyDescent="0.35">
      <c r="A4" t="s">
        <v>63</v>
      </c>
      <c r="B4" t="s">
        <v>127</v>
      </c>
      <c r="C4" t="s">
        <v>832</v>
      </c>
      <c r="D4" t="s">
        <v>833</v>
      </c>
      <c r="E4" t="s">
        <v>473</v>
      </c>
      <c r="F4" t="s">
        <v>829</v>
      </c>
      <c r="G4">
        <v>-3</v>
      </c>
      <c r="H4">
        <v>88</v>
      </c>
      <c r="I4" t="b">
        <v>1</v>
      </c>
    </row>
    <row r="5" spans="1:9" x14ac:dyDescent="0.35">
      <c r="A5" t="s">
        <v>63</v>
      </c>
      <c r="B5" t="s">
        <v>127</v>
      </c>
      <c r="C5" t="s">
        <v>834</v>
      </c>
      <c r="D5" t="s">
        <v>835</v>
      </c>
      <c r="E5" t="s">
        <v>784</v>
      </c>
      <c r="F5" t="s">
        <v>836</v>
      </c>
      <c r="G5">
        <v>2</v>
      </c>
      <c r="H5">
        <v>90</v>
      </c>
      <c r="I5" t="b">
        <v>1</v>
      </c>
    </row>
    <row r="6" spans="1:9" x14ac:dyDescent="0.35">
      <c r="A6" t="s">
        <v>63</v>
      </c>
      <c r="B6" t="s">
        <v>127</v>
      </c>
      <c r="C6" t="s">
        <v>837</v>
      </c>
      <c r="D6" t="s">
        <v>642</v>
      </c>
      <c r="F6" t="s">
        <v>838</v>
      </c>
      <c r="H6">
        <v>90</v>
      </c>
      <c r="I6" t="b">
        <v>1</v>
      </c>
    </row>
    <row r="7" spans="1:9" x14ac:dyDescent="0.35">
      <c r="A7" t="s">
        <v>63</v>
      </c>
      <c r="B7" t="s">
        <v>127</v>
      </c>
      <c r="C7" t="s">
        <v>839</v>
      </c>
      <c r="D7" t="s">
        <v>563</v>
      </c>
      <c r="F7" t="s">
        <v>840</v>
      </c>
      <c r="H7">
        <v>90</v>
      </c>
      <c r="I7" t="b">
        <v>1</v>
      </c>
    </row>
    <row r="8" spans="1:9" x14ac:dyDescent="0.35">
      <c r="A8" t="s">
        <v>63</v>
      </c>
      <c r="B8" t="s">
        <v>128</v>
      </c>
      <c r="C8" t="s">
        <v>828</v>
      </c>
      <c r="D8" t="s">
        <v>682</v>
      </c>
      <c r="E8" t="s">
        <v>841</v>
      </c>
      <c r="F8" t="s">
        <v>829</v>
      </c>
      <c r="G8">
        <v>4</v>
      </c>
      <c r="H8">
        <v>88</v>
      </c>
      <c r="I8" t="b">
        <v>1</v>
      </c>
    </row>
    <row r="9" spans="1:9" x14ac:dyDescent="0.35">
      <c r="A9" t="s">
        <v>63</v>
      </c>
      <c r="B9" t="s">
        <v>128</v>
      </c>
      <c r="C9" t="s">
        <v>830</v>
      </c>
      <c r="D9" t="s">
        <v>831</v>
      </c>
      <c r="E9" t="s">
        <v>69</v>
      </c>
      <c r="F9" t="s">
        <v>829</v>
      </c>
      <c r="G9">
        <v>5</v>
      </c>
      <c r="H9">
        <v>93</v>
      </c>
      <c r="I9" t="b">
        <v>1</v>
      </c>
    </row>
    <row r="10" spans="1:9" x14ac:dyDescent="0.35">
      <c r="A10" t="s">
        <v>63</v>
      </c>
      <c r="B10" t="s">
        <v>128</v>
      </c>
      <c r="C10" t="s">
        <v>832</v>
      </c>
      <c r="D10" t="s">
        <v>833</v>
      </c>
      <c r="E10" t="s">
        <v>72</v>
      </c>
      <c r="F10" t="s">
        <v>829</v>
      </c>
      <c r="G10">
        <v>-2</v>
      </c>
      <c r="H10">
        <v>86</v>
      </c>
      <c r="I10" t="b">
        <v>1</v>
      </c>
    </row>
    <row r="11" spans="1:9" x14ac:dyDescent="0.35">
      <c r="A11" t="s">
        <v>63</v>
      </c>
      <c r="B11" t="s">
        <v>128</v>
      </c>
      <c r="C11" t="s">
        <v>834</v>
      </c>
      <c r="D11" t="s">
        <v>835</v>
      </c>
      <c r="E11" t="s">
        <v>784</v>
      </c>
      <c r="F11" t="s">
        <v>836</v>
      </c>
      <c r="G11">
        <v>2</v>
      </c>
      <c r="H11">
        <v>87</v>
      </c>
      <c r="I11" t="b">
        <v>1</v>
      </c>
    </row>
    <row r="12" spans="1:9" x14ac:dyDescent="0.35">
      <c r="A12" t="s">
        <v>63</v>
      </c>
      <c r="B12" t="s">
        <v>128</v>
      </c>
      <c r="C12" t="s">
        <v>837</v>
      </c>
      <c r="D12" t="s">
        <v>642</v>
      </c>
      <c r="F12" t="s">
        <v>838</v>
      </c>
      <c r="H12">
        <v>91</v>
      </c>
      <c r="I12" t="b">
        <v>1</v>
      </c>
    </row>
    <row r="13" spans="1:9" x14ac:dyDescent="0.35">
      <c r="A13" t="s">
        <v>63</v>
      </c>
      <c r="B13" t="s">
        <v>128</v>
      </c>
      <c r="C13" t="s">
        <v>839</v>
      </c>
      <c r="D13" t="s">
        <v>563</v>
      </c>
      <c r="F13" t="s">
        <v>840</v>
      </c>
      <c r="H13">
        <v>92</v>
      </c>
      <c r="I13" t="b">
        <v>1</v>
      </c>
    </row>
    <row r="14" spans="1:9" x14ac:dyDescent="0.35">
      <c r="A14" t="s">
        <v>63</v>
      </c>
      <c r="B14" t="s">
        <v>129</v>
      </c>
      <c r="C14" t="s">
        <v>828</v>
      </c>
      <c r="D14" t="s">
        <v>682</v>
      </c>
      <c r="E14" t="s">
        <v>561</v>
      </c>
      <c r="F14" t="s">
        <v>829</v>
      </c>
      <c r="G14">
        <v>-5</v>
      </c>
      <c r="H14">
        <v>85</v>
      </c>
      <c r="I14" t="b">
        <v>1</v>
      </c>
    </row>
    <row r="15" spans="1:9" x14ac:dyDescent="0.35">
      <c r="A15" t="s">
        <v>63</v>
      </c>
      <c r="B15" t="s">
        <v>129</v>
      </c>
      <c r="C15" t="s">
        <v>830</v>
      </c>
      <c r="D15" t="s">
        <v>831</v>
      </c>
      <c r="E15" t="s">
        <v>426</v>
      </c>
      <c r="F15" t="s">
        <v>829</v>
      </c>
      <c r="G15">
        <v>6</v>
      </c>
      <c r="H15">
        <v>87</v>
      </c>
      <c r="I15" t="b">
        <v>0</v>
      </c>
    </row>
    <row r="16" spans="1:9" x14ac:dyDescent="0.35">
      <c r="A16" t="s">
        <v>63</v>
      </c>
      <c r="B16" t="s">
        <v>129</v>
      </c>
      <c r="C16" t="s">
        <v>832</v>
      </c>
      <c r="D16" t="s">
        <v>833</v>
      </c>
      <c r="E16" t="s">
        <v>473</v>
      </c>
      <c r="F16" t="s">
        <v>829</v>
      </c>
      <c r="G16">
        <v>-3</v>
      </c>
      <c r="H16">
        <v>83</v>
      </c>
      <c r="I16" t="b">
        <v>0</v>
      </c>
    </row>
    <row r="17" spans="1:9" x14ac:dyDescent="0.35">
      <c r="A17" t="s">
        <v>63</v>
      </c>
      <c r="B17" t="s">
        <v>129</v>
      </c>
      <c r="C17" t="s">
        <v>834</v>
      </c>
      <c r="D17" t="s">
        <v>835</v>
      </c>
      <c r="E17" t="s">
        <v>835</v>
      </c>
      <c r="F17" t="s">
        <v>836</v>
      </c>
      <c r="G17">
        <v>0</v>
      </c>
      <c r="H17">
        <v>88</v>
      </c>
      <c r="I17" t="b">
        <v>1</v>
      </c>
    </row>
    <row r="18" spans="1:9" x14ac:dyDescent="0.35">
      <c r="A18" t="s">
        <v>63</v>
      </c>
      <c r="B18" t="s">
        <v>129</v>
      </c>
      <c r="C18" t="s">
        <v>837</v>
      </c>
      <c r="D18" t="s">
        <v>642</v>
      </c>
      <c r="F18" t="s">
        <v>838</v>
      </c>
      <c r="H18">
        <v>90</v>
      </c>
      <c r="I18" t="b">
        <v>1</v>
      </c>
    </row>
    <row r="19" spans="1:9" x14ac:dyDescent="0.35">
      <c r="A19" t="s">
        <v>63</v>
      </c>
      <c r="B19" t="s">
        <v>129</v>
      </c>
      <c r="C19" t="s">
        <v>839</v>
      </c>
      <c r="D19" t="s">
        <v>563</v>
      </c>
      <c r="F19" t="s">
        <v>840</v>
      </c>
      <c r="H19">
        <v>88</v>
      </c>
      <c r="I19" t="b">
        <v>1</v>
      </c>
    </row>
    <row r="20" spans="1:9" x14ac:dyDescent="0.35">
      <c r="A20" t="s">
        <v>63</v>
      </c>
      <c r="B20" t="s">
        <v>130</v>
      </c>
      <c r="C20" t="s">
        <v>828</v>
      </c>
      <c r="D20" t="s">
        <v>682</v>
      </c>
      <c r="E20" t="s">
        <v>561</v>
      </c>
      <c r="F20" t="s">
        <v>829</v>
      </c>
      <c r="G20">
        <v>-5</v>
      </c>
      <c r="H20">
        <v>84</v>
      </c>
      <c r="I20" t="b">
        <v>1</v>
      </c>
    </row>
    <row r="21" spans="1:9" x14ac:dyDescent="0.35">
      <c r="A21" t="s">
        <v>63</v>
      </c>
      <c r="B21" t="s">
        <v>130</v>
      </c>
      <c r="C21" t="s">
        <v>830</v>
      </c>
      <c r="D21" t="s">
        <v>831</v>
      </c>
      <c r="E21" t="s">
        <v>842</v>
      </c>
      <c r="F21" t="s">
        <v>829</v>
      </c>
      <c r="G21">
        <v>-7</v>
      </c>
      <c r="H21">
        <v>80</v>
      </c>
      <c r="I21" t="b">
        <v>1</v>
      </c>
    </row>
    <row r="22" spans="1:9" x14ac:dyDescent="0.35">
      <c r="A22" t="s">
        <v>63</v>
      </c>
      <c r="B22" t="s">
        <v>130</v>
      </c>
      <c r="C22" t="s">
        <v>832</v>
      </c>
      <c r="D22" t="s">
        <v>833</v>
      </c>
      <c r="E22" t="s">
        <v>833</v>
      </c>
      <c r="F22" t="s">
        <v>829</v>
      </c>
      <c r="G22">
        <v>0</v>
      </c>
      <c r="H22">
        <v>82</v>
      </c>
      <c r="I22" t="b">
        <v>1</v>
      </c>
    </row>
    <row r="23" spans="1:9" x14ac:dyDescent="0.35">
      <c r="A23" t="s">
        <v>63</v>
      </c>
      <c r="B23" t="s">
        <v>130</v>
      </c>
      <c r="C23" t="s">
        <v>834</v>
      </c>
      <c r="D23" t="s">
        <v>835</v>
      </c>
      <c r="E23" t="s">
        <v>360</v>
      </c>
      <c r="F23" t="s">
        <v>836</v>
      </c>
      <c r="G23">
        <v>1</v>
      </c>
      <c r="H23">
        <v>76</v>
      </c>
      <c r="I23" t="b">
        <v>0</v>
      </c>
    </row>
    <row r="24" spans="1:9" x14ac:dyDescent="0.35">
      <c r="A24" t="s">
        <v>63</v>
      </c>
      <c r="B24" t="s">
        <v>130</v>
      </c>
      <c r="C24" t="s">
        <v>837</v>
      </c>
      <c r="D24" t="s">
        <v>642</v>
      </c>
      <c r="F24" t="s">
        <v>838</v>
      </c>
      <c r="H24">
        <v>81</v>
      </c>
      <c r="I24" t="b">
        <v>1</v>
      </c>
    </row>
    <row r="25" spans="1:9" x14ac:dyDescent="0.35">
      <c r="A25" t="s">
        <v>63</v>
      </c>
      <c r="B25" t="s">
        <v>130</v>
      </c>
      <c r="C25" t="s">
        <v>839</v>
      </c>
      <c r="D25" t="s">
        <v>563</v>
      </c>
      <c r="F25" t="s">
        <v>840</v>
      </c>
      <c r="H25">
        <v>80</v>
      </c>
      <c r="I25" t="b">
        <v>1</v>
      </c>
    </row>
    <row r="26" spans="1:9" x14ac:dyDescent="0.35">
      <c r="A26" t="s">
        <v>115</v>
      </c>
      <c r="B26" t="s">
        <v>127</v>
      </c>
      <c r="C26" t="s">
        <v>828</v>
      </c>
      <c r="D26" t="s">
        <v>682</v>
      </c>
      <c r="E26" t="s">
        <v>843</v>
      </c>
      <c r="F26" t="s">
        <v>829</v>
      </c>
      <c r="G26">
        <v>-3</v>
      </c>
      <c r="H26">
        <v>89</v>
      </c>
      <c r="I26" t="b">
        <v>1</v>
      </c>
    </row>
    <row r="27" spans="1:9" x14ac:dyDescent="0.35">
      <c r="A27" t="s">
        <v>115</v>
      </c>
      <c r="B27" t="s">
        <v>127</v>
      </c>
      <c r="C27" t="s">
        <v>830</v>
      </c>
      <c r="D27" t="s">
        <v>831</v>
      </c>
      <c r="E27" t="s">
        <v>626</v>
      </c>
      <c r="F27" t="s">
        <v>829</v>
      </c>
      <c r="G27">
        <v>2</v>
      </c>
      <c r="H27">
        <v>94</v>
      </c>
      <c r="I27" t="b">
        <v>1</v>
      </c>
    </row>
    <row r="28" spans="1:9" x14ac:dyDescent="0.35">
      <c r="A28" t="s">
        <v>115</v>
      </c>
      <c r="B28" t="s">
        <v>127</v>
      </c>
      <c r="C28" t="s">
        <v>832</v>
      </c>
      <c r="D28" t="s">
        <v>833</v>
      </c>
      <c r="E28" t="s">
        <v>844</v>
      </c>
      <c r="F28" t="s">
        <v>829</v>
      </c>
      <c r="G28">
        <v>3</v>
      </c>
      <c r="H28">
        <v>91</v>
      </c>
      <c r="I28" t="b">
        <v>1</v>
      </c>
    </row>
    <row r="29" spans="1:9" x14ac:dyDescent="0.35">
      <c r="A29" t="s">
        <v>115</v>
      </c>
      <c r="B29" t="s">
        <v>127</v>
      </c>
      <c r="C29" t="s">
        <v>834</v>
      </c>
      <c r="D29" t="s">
        <v>835</v>
      </c>
      <c r="E29" t="s">
        <v>784</v>
      </c>
      <c r="F29" t="s">
        <v>836</v>
      </c>
      <c r="G29">
        <v>2</v>
      </c>
      <c r="H29">
        <v>91</v>
      </c>
      <c r="I29" t="b">
        <v>1</v>
      </c>
    </row>
    <row r="30" spans="1:9" x14ac:dyDescent="0.35">
      <c r="A30" t="s">
        <v>115</v>
      </c>
      <c r="B30" t="s">
        <v>127</v>
      </c>
      <c r="C30" t="s">
        <v>837</v>
      </c>
      <c r="D30" t="s">
        <v>642</v>
      </c>
      <c r="F30" t="s">
        <v>838</v>
      </c>
      <c r="H30">
        <v>90</v>
      </c>
      <c r="I30" t="b">
        <v>1</v>
      </c>
    </row>
    <row r="31" spans="1:9" x14ac:dyDescent="0.35">
      <c r="A31" t="s">
        <v>115</v>
      </c>
      <c r="B31" t="s">
        <v>127</v>
      </c>
      <c r="C31" t="s">
        <v>839</v>
      </c>
      <c r="D31" t="s">
        <v>563</v>
      </c>
      <c r="F31" t="s">
        <v>840</v>
      </c>
      <c r="H31">
        <v>88</v>
      </c>
      <c r="I31" t="b">
        <v>1</v>
      </c>
    </row>
    <row r="32" spans="1:9" x14ac:dyDescent="0.35">
      <c r="A32" t="s">
        <v>115</v>
      </c>
      <c r="B32" t="s">
        <v>128</v>
      </c>
      <c r="C32" t="s">
        <v>828</v>
      </c>
      <c r="D32" t="s">
        <v>682</v>
      </c>
      <c r="E32" t="s">
        <v>845</v>
      </c>
      <c r="F32" t="s">
        <v>829</v>
      </c>
      <c r="G32">
        <v>-7</v>
      </c>
      <c r="H32">
        <v>91</v>
      </c>
      <c r="I32" t="b">
        <v>0</v>
      </c>
    </row>
    <row r="33" spans="1:9" x14ac:dyDescent="0.35">
      <c r="A33" t="s">
        <v>115</v>
      </c>
      <c r="B33" t="s">
        <v>128</v>
      </c>
      <c r="C33" t="s">
        <v>830</v>
      </c>
      <c r="D33" t="s">
        <v>831</v>
      </c>
      <c r="E33" t="s">
        <v>794</v>
      </c>
      <c r="F33" t="s">
        <v>829</v>
      </c>
      <c r="G33">
        <v>-6</v>
      </c>
      <c r="H33">
        <v>92</v>
      </c>
      <c r="I33" t="b">
        <v>1</v>
      </c>
    </row>
    <row r="34" spans="1:9" x14ac:dyDescent="0.35">
      <c r="A34" t="s">
        <v>115</v>
      </c>
      <c r="B34" t="s">
        <v>128</v>
      </c>
      <c r="C34" t="s">
        <v>832</v>
      </c>
      <c r="D34" t="s">
        <v>833</v>
      </c>
      <c r="E34" t="s">
        <v>339</v>
      </c>
      <c r="F34" t="s">
        <v>829</v>
      </c>
      <c r="G34">
        <v>4</v>
      </c>
      <c r="H34">
        <v>89</v>
      </c>
      <c r="I34" t="b">
        <v>1</v>
      </c>
    </row>
    <row r="35" spans="1:9" x14ac:dyDescent="0.35">
      <c r="A35" t="s">
        <v>115</v>
      </c>
      <c r="B35" t="s">
        <v>128</v>
      </c>
      <c r="C35" t="s">
        <v>834</v>
      </c>
      <c r="D35" t="s">
        <v>835</v>
      </c>
      <c r="E35" t="s">
        <v>364</v>
      </c>
      <c r="F35" t="s">
        <v>836</v>
      </c>
      <c r="G35">
        <v>-7</v>
      </c>
      <c r="H35">
        <v>85</v>
      </c>
      <c r="I35" t="b">
        <v>1</v>
      </c>
    </row>
    <row r="36" spans="1:9" x14ac:dyDescent="0.35">
      <c r="A36" t="s">
        <v>115</v>
      </c>
      <c r="B36" t="s">
        <v>128</v>
      </c>
      <c r="C36" t="s">
        <v>837</v>
      </c>
      <c r="D36" t="s">
        <v>642</v>
      </c>
      <c r="F36" t="s">
        <v>838</v>
      </c>
      <c r="H36">
        <v>88</v>
      </c>
      <c r="I36" t="b">
        <v>1</v>
      </c>
    </row>
    <row r="37" spans="1:9" x14ac:dyDescent="0.35">
      <c r="A37" t="s">
        <v>115</v>
      </c>
      <c r="B37" t="s">
        <v>128</v>
      </c>
      <c r="C37" t="s">
        <v>839</v>
      </c>
      <c r="D37" t="s">
        <v>563</v>
      </c>
      <c r="F37" t="s">
        <v>840</v>
      </c>
      <c r="H37">
        <v>86</v>
      </c>
      <c r="I37" t="b">
        <v>1</v>
      </c>
    </row>
    <row r="38" spans="1:9" x14ac:dyDescent="0.35">
      <c r="A38" t="s">
        <v>115</v>
      </c>
      <c r="B38" t="s">
        <v>129</v>
      </c>
      <c r="C38" t="s">
        <v>828</v>
      </c>
      <c r="D38" t="s">
        <v>682</v>
      </c>
      <c r="E38" t="s">
        <v>407</v>
      </c>
      <c r="F38" t="s">
        <v>829</v>
      </c>
      <c r="G38">
        <v>-6</v>
      </c>
      <c r="H38">
        <v>83</v>
      </c>
      <c r="I38" t="b">
        <v>1</v>
      </c>
    </row>
    <row r="39" spans="1:9" x14ac:dyDescent="0.35">
      <c r="A39" t="s">
        <v>115</v>
      </c>
      <c r="B39" t="s">
        <v>129</v>
      </c>
      <c r="C39" t="s">
        <v>830</v>
      </c>
      <c r="D39" t="s">
        <v>831</v>
      </c>
      <c r="E39" t="s">
        <v>346</v>
      </c>
      <c r="F39" t="s">
        <v>829</v>
      </c>
      <c r="G39">
        <v>-5</v>
      </c>
      <c r="H39">
        <v>88</v>
      </c>
      <c r="I39" t="b">
        <v>1</v>
      </c>
    </row>
    <row r="40" spans="1:9" x14ac:dyDescent="0.35">
      <c r="A40" t="s">
        <v>115</v>
      </c>
      <c r="B40" t="s">
        <v>129</v>
      </c>
      <c r="C40" t="s">
        <v>832</v>
      </c>
      <c r="D40" t="s">
        <v>833</v>
      </c>
      <c r="E40" t="s">
        <v>671</v>
      </c>
      <c r="F40" t="s">
        <v>829</v>
      </c>
      <c r="G40">
        <v>7</v>
      </c>
      <c r="H40">
        <v>84</v>
      </c>
      <c r="I40" t="b">
        <v>1</v>
      </c>
    </row>
    <row r="41" spans="1:9" x14ac:dyDescent="0.35">
      <c r="A41" t="s">
        <v>115</v>
      </c>
      <c r="B41" t="s">
        <v>129</v>
      </c>
      <c r="C41" t="s">
        <v>834</v>
      </c>
      <c r="D41" t="s">
        <v>835</v>
      </c>
      <c r="E41" t="s">
        <v>244</v>
      </c>
      <c r="F41" t="s">
        <v>836</v>
      </c>
      <c r="G41">
        <v>4</v>
      </c>
      <c r="H41">
        <v>84</v>
      </c>
      <c r="I41" t="b">
        <v>1</v>
      </c>
    </row>
    <row r="42" spans="1:9" x14ac:dyDescent="0.35">
      <c r="A42" t="s">
        <v>115</v>
      </c>
      <c r="B42" t="s">
        <v>129</v>
      </c>
      <c r="C42" t="s">
        <v>837</v>
      </c>
      <c r="D42" t="s">
        <v>642</v>
      </c>
      <c r="F42" t="s">
        <v>838</v>
      </c>
      <c r="H42">
        <v>83</v>
      </c>
      <c r="I42" t="b">
        <v>1</v>
      </c>
    </row>
    <row r="43" spans="1:9" x14ac:dyDescent="0.35">
      <c r="A43" t="s">
        <v>115</v>
      </c>
      <c r="B43" t="s">
        <v>129</v>
      </c>
      <c r="C43" t="s">
        <v>839</v>
      </c>
      <c r="D43" t="s">
        <v>563</v>
      </c>
      <c r="F43" t="s">
        <v>840</v>
      </c>
      <c r="H43">
        <v>86</v>
      </c>
      <c r="I43" t="b">
        <v>1</v>
      </c>
    </row>
    <row r="44" spans="1:9" x14ac:dyDescent="0.35">
      <c r="A44" t="s">
        <v>115</v>
      </c>
      <c r="B44" t="s">
        <v>130</v>
      </c>
      <c r="C44" t="s">
        <v>828</v>
      </c>
      <c r="D44" t="s">
        <v>682</v>
      </c>
      <c r="E44" t="s">
        <v>841</v>
      </c>
      <c r="F44" t="s">
        <v>829</v>
      </c>
      <c r="G44">
        <v>4</v>
      </c>
      <c r="H44">
        <v>81</v>
      </c>
      <c r="I44" t="b">
        <v>1</v>
      </c>
    </row>
    <row r="45" spans="1:9" x14ac:dyDescent="0.35">
      <c r="A45" t="s">
        <v>115</v>
      </c>
      <c r="B45" t="s">
        <v>130</v>
      </c>
      <c r="C45" t="s">
        <v>830</v>
      </c>
      <c r="D45" t="s">
        <v>831</v>
      </c>
      <c r="E45" t="s">
        <v>69</v>
      </c>
      <c r="F45" t="s">
        <v>829</v>
      </c>
      <c r="G45">
        <v>5</v>
      </c>
      <c r="H45">
        <v>77</v>
      </c>
      <c r="I45" t="b">
        <v>1</v>
      </c>
    </row>
    <row r="46" spans="1:9" x14ac:dyDescent="0.35">
      <c r="A46" t="s">
        <v>115</v>
      </c>
      <c r="B46" t="s">
        <v>130</v>
      </c>
      <c r="C46" t="s">
        <v>832</v>
      </c>
      <c r="D46" t="s">
        <v>833</v>
      </c>
      <c r="E46" t="s">
        <v>444</v>
      </c>
      <c r="F46" t="s">
        <v>829</v>
      </c>
      <c r="G46">
        <v>-7</v>
      </c>
      <c r="H46">
        <v>82</v>
      </c>
      <c r="I46" t="b">
        <v>1</v>
      </c>
    </row>
    <row r="47" spans="1:9" x14ac:dyDescent="0.35">
      <c r="A47" t="s">
        <v>115</v>
      </c>
      <c r="B47" t="s">
        <v>130</v>
      </c>
      <c r="C47" t="s">
        <v>834</v>
      </c>
      <c r="D47" t="s">
        <v>835</v>
      </c>
      <c r="E47" t="s">
        <v>364</v>
      </c>
      <c r="F47" t="s">
        <v>836</v>
      </c>
      <c r="G47">
        <v>-7</v>
      </c>
      <c r="H47">
        <v>80</v>
      </c>
      <c r="I47" t="b">
        <v>1</v>
      </c>
    </row>
    <row r="48" spans="1:9" x14ac:dyDescent="0.35">
      <c r="A48" t="s">
        <v>115</v>
      </c>
      <c r="B48" t="s">
        <v>130</v>
      </c>
      <c r="C48" t="s">
        <v>837</v>
      </c>
      <c r="D48" t="s">
        <v>642</v>
      </c>
      <c r="F48" t="s">
        <v>838</v>
      </c>
      <c r="H48">
        <v>78</v>
      </c>
      <c r="I48" t="b">
        <v>1</v>
      </c>
    </row>
    <row r="49" spans="1:9" x14ac:dyDescent="0.35">
      <c r="A49" t="s">
        <v>115</v>
      </c>
      <c r="B49" t="s">
        <v>130</v>
      </c>
      <c r="C49" t="s">
        <v>839</v>
      </c>
      <c r="D49" t="s">
        <v>563</v>
      </c>
      <c r="F49" t="s">
        <v>840</v>
      </c>
      <c r="H49">
        <v>79</v>
      </c>
      <c r="I49" t="b">
        <v>1</v>
      </c>
    </row>
    <row r="50" spans="1:9" x14ac:dyDescent="0.35">
      <c r="A50" t="s">
        <v>116</v>
      </c>
      <c r="B50" t="s">
        <v>127</v>
      </c>
      <c r="C50" t="s">
        <v>828</v>
      </c>
      <c r="D50" t="s">
        <v>682</v>
      </c>
      <c r="E50" t="s">
        <v>561</v>
      </c>
      <c r="F50" t="s">
        <v>829</v>
      </c>
      <c r="G50">
        <v>-5</v>
      </c>
      <c r="H50">
        <v>95</v>
      </c>
      <c r="I50" t="b">
        <v>0</v>
      </c>
    </row>
    <row r="51" spans="1:9" x14ac:dyDescent="0.35">
      <c r="A51" t="s">
        <v>116</v>
      </c>
      <c r="B51" t="s">
        <v>127</v>
      </c>
      <c r="C51" t="s">
        <v>830</v>
      </c>
      <c r="D51" t="s">
        <v>831</v>
      </c>
      <c r="E51" t="s">
        <v>384</v>
      </c>
      <c r="F51" t="s">
        <v>829</v>
      </c>
      <c r="G51">
        <v>1</v>
      </c>
      <c r="H51">
        <v>94</v>
      </c>
      <c r="I51" t="b">
        <v>1</v>
      </c>
    </row>
    <row r="52" spans="1:9" x14ac:dyDescent="0.35">
      <c r="A52" t="s">
        <v>116</v>
      </c>
      <c r="B52" t="s">
        <v>127</v>
      </c>
      <c r="C52" t="s">
        <v>832</v>
      </c>
      <c r="D52" t="s">
        <v>833</v>
      </c>
      <c r="E52" t="s">
        <v>844</v>
      </c>
      <c r="F52" t="s">
        <v>829</v>
      </c>
      <c r="G52">
        <v>3</v>
      </c>
      <c r="H52">
        <v>89</v>
      </c>
      <c r="I52" t="b">
        <v>1</v>
      </c>
    </row>
    <row r="53" spans="1:9" x14ac:dyDescent="0.35">
      <c r="A53" t="s">
        <v>116</v>
      </c>
      <c r="B53" t="s">
        <v>127</v>
      </c>
      <c r="C53" t="s">
        <v>834</v>
      </c>
      <c r="D53" t="s">
        <v>835</v>
      </c>
      <c r="E53" t="s">
        <v>244</v>
      </c>
      <c r="F53" t="s">
        <v>836</v>
      </c>
      <c r="G53">
        <v>4</v>
      </c>
      <c r="H53">
        <v>92</v>
      </c>
      <c r="I53" t="b">
        <v>0</v>
      </c>
    </row>
    <row r="54" spans="1:9" x14ac:dyDescent="0.35">
      <c r="A54" t="s">
        <v>116</v>
      </c>
      <c r="B54" t="s">
        <v>127</v>
      </c>
      <c r="C54" t="s">
        <v>837</v>
      </c>
      <c r="D54" t="s">
        <v>642</v>
      </c>
      <c r="F54" t="s">
        <v>838</v>
      </c>
      <c r="H54">
        <v>89</v>
      </c>
      <c r="I54" t="b">
        <v>1</v>
      </c>
    </row>
    <row r="55" spans="1:9" x14ac:dyDescent="0.35">
      <c r="A55" t="s">
        <v>116</v>
      </c>
      <c r="B55" t="s">
        <v>127</v>
      </c>
      <c r="C55" t="s">
        <v>839</v>
      </c>
      <c r="D55" t="s">
        <v>563</v>
      </c>
      <c r="F55" t="s">
        <v>840</v>
      </c>
      <c r="H55">
        <v>95</v>
      </c>
      <c r="I55" t="b">
        <v>0</v>
      </c>
    </row>
    <row r="56" spans="1:9" x14ac:dyDescent="0.35">
      <c r="A56" t="s">
        <v>116</v>
      </c>
      <c r="B56" t="s">
        <v>128</v>
      </c>
      <c r="C56" t="s">
        <v>828</v>
      </c>
      <c r="D56" t="s">
        <v>682</v>
      </c>
      <c r="E56" t="s">
        <v>682</v>
      </c>
      <c r="F56" t="s">
        <v>829</v>
      </c>
      <c r="G56">
        <v>0</v>
      </c>
      <c r="H56">
        <v>87</v>
      </c>
      <c r="I56" t="b">
        <v>1</v>
      </c>
    </row>
    <row r="57" spans="1:9" x14ac:dyDescent="0.35">
      <c r="A57" t="s">
        <v>116</v>
      </c>
      <c r="B57" t="s">
        <v>128</v>
      </c>
      <c r="C57" t="s">
        <v>830</v>
      </c>
      <c r="D57" t="s">
        <v>831</v>
      </c>
      <c r="E57" t="s">
        <v>842</v>
      </c>
      <c r="F57" t="s">
        <v>829</v>
      </c>
      <c r="G57">
        <v>-7</v>
      </c>
      <c r="H57">
        <v>85</v>
      </c>
      <c r="I57" t="b">
        <v>1</v>
      </c>
    </row>
    <row r="58" spans="1:9" x14ac:dyDescent="0.35">
      <c r="A58" t="s">
        <v>116</v>
      </c>
      <c r="B58" t="s">
        <v>128</v>
      </c>
      <c r="C58" t="s">
        <v>832</v>
      </c>
      <c r="D58" t="s">
        <v>833</v>
      </c>
      <c r="E58" t="s">
        <v>473</v>
      </c>
      <c r="F58" t="s">
        <v>829</v>
      </c>
      <c r="G58">
        <v>-3</v>
      </c>
      <c r="H58">
        <v>87</v>
      </c>
      <c r="I58" t="b">
        <v>1</v>
      </c>
    </row>
    <row r="59" spans="1:9" x14ac:dyDescent="0.35">
      <c r="A59" t="s">
        <v>116</v>
      </c>
      <c r="B59" t="s">
        <v>128</v>
      </c>
      <c r="C59" t="s">
        <v>834</v>
      </c>
      <c r="D59" t="s">
        <v>835</v>
      </c>
      <c r="E59" t="s">
        <v>400</v>
      </c>
      <c r="F59" t="s">
        <v>836</v>
      </c>
      <c r="G59">
        <v>7</v>
      </c>
      <c r="H59">
        <v>91</v>
      </c>
      <c r="I59" t="b">
        <v>1</v>
      </c>
    </row>
    <row r="60" spans="1:9" x14ac:dyDescent="0.35">
      <c r="A60" t="s">
        <v>116</v>
      </c>
      <c r="B60" t="s">
        <v>128</v>
      </c>
      <c r="C60" t="s">
        <v>837</v>
      </c>
      <c r="D60" t="s">
        <v>642</v>
      </c>
      <c r="F60" t="s">
        <v>838</v>
      </c>
      <c r="H60">
        <v>92</v>
      </c>
      <c r="I60" t="b">
        <v>1</v>
      </c>
    </row>
    <row r="61" spans="1:9" x14ac:dyDescent="0.35">
      <c r="A61" t="s">
        <v>116</v>
      </c>
      <c r="B61" t="s">
        <v>128</v>
      </c>
      <c r="C61" t="s">
        <v>839</v>
      </c>
      <c r="D61" t="s">
        <v>563</v>
      </c>
      <c r="F61" t="s">
        <v>840</v>
      </c>
      <c r="H61">
        <v>86</v>
      </c>
      <c r="I61" t="b">
        <v>1</v>
      </c>
    </row>
    <row r="62" spans="1:9" x14ac:dyDescent="0.35">
      <c r="A62" t="s">
        <v>116</v>
      </c>
      <c r="B62" t="s">
        <v>129</v>
      </c>
      <c r="C62" t="s">
        <v>828</v>
      </c>
      <c r="D62" t="s">
        <v>682</v>
      </c>
      <c r="E62" t="s">
        <v>845</v>
      </c>
      <c r="F62" t="s">
        <v>829</v>
      </c>
      <c r="G62">
        <v>-7</v>
      </c>
      <c r="H62">
        <v>88</v>
      </c>
      <c r="I62" t="b">
        <v>1</v>
      </c>
    </row>
    <row r="63" spans="1:9" x14ac:dyDescent="0.35">
      <c r="A63" t="s">
        <v>116</v>
      </c>
      <c r="B63" t="s">
        <v>129</v>
      </c>
      <c r="C63" t="s">
        <v>830</v>
      </c>
      <c r="D63" t="s">
        <v>831</v>
      </c>
      <c r="E63" t="s">
        <v>426</v>
      </c>
      <c r="F63" t="s">
        <v>829</v>
      </c>
      <c r="G63">
        <v>6</v>
      </c>
      <c r="H63">
        <v>89</v>
      </c>
      <c r="I63" t="b">
        <v>1</v>
      </c>
    </row>
    <row r="64" spans="1:9" x14ac:dyDescent="0.35">
      <c r="A64" t="s">
        <v>116</v>
      </c>
      <c r="B64" t="s">
        <v>129</v>
      </c>
      <c r="C64" t="s">
        <v>832</v>
      </c>
      <c r="D64" t="s">
        <v>833</v>
      </c>
      <c r="E64" t="s">
        <v>253</v>
      </c>
      <c r="F64" t="s">
        <v>829</v>
      </c>
      <c r="G64">
        <v>1</v>
      </c>
      <c r="H64">
        <v>87</v>
      </c>
      <c r="I64" t="b">
        <v>1</v>
      </c>
    </row>
    <row r="65" spans="1:9" x14ac:dyDescent="0.35">
      <c r="A65" t="s">
        <v>116</v>
      </c>
      <c r="B65" t="s">
        <v>129</v>
      </c>
      <c r="C65" t="s">
        <v>834</v>
      </c>
      <c r="D65" t="s">
        <v>835</v>
      </c>
      <c r="E65" t="s">
        <v>846</v>
      </c>
      <c r="F65" t="s">
        <v>836</v>
      </c>
      <c r="G65">
        <v>-3</v>
      </c>
      <c r="H65">
        <v>88</v>
      </c>
      <c r="I65" t="b">
        <v>0</v>
      </c>
    </row>
    <row r="66" spans="1:9" x14ac:dyDescent="0.35">
      <c r="A66" t="s">
        <v>116</v>
      </c>
      <c r="B66" t="s">
        <v>129</v>
      </c>
      <c r="C66" t="s">
        <v>837</v>
      </c>
      <c r="D66" t="s">
        <v>642</v>
      </c>
      <c r="F66" t="s">
        <v>838</v>
      </c>
      <c r="H66">
        <v>83</v>
      </c>
      <c r="I66" t="b">
        <v>1</v>
      </c>
    </row>
    <row r="67" spans="1:9" x14ac:dyDescent="0.35">
      <c r="A67" t="s">
        <v>116</v>
      </c>
      <c r="B67" t="s">
        <v>129</v>
      </c>
      <c r="C67" t="s">
        <v>839</v>
      </c>
      <c r="D67" t="s">
        <v>563</v>
      </c>
      <c r="F67" t="s">
        <v>840</v>
      </c>
      <c r="H67">
        <v>87</v>
      </c>
      <c r="I67" t="b">
        <v>0</v>
      </c>
    </row>
    <row r="68" spans="1:9" x14ac:dyDescent="0.35">
      <c r="A68" t="s">
        <v>116</v>
      </c>
      <c r="B68" t="s">
        <v>130</v>
      </c>
      <c r="C68" t="s">
        <v>828</v>
      </c>
      <c r="D68" t="s">
        <v>682</v>
      </c>
      <c r="E68" t="s">
        <v>682</v>
      </c>
      <c r="F68" t="s">
        <v>829</v>
      </c>
      <c r="G68">
        <v>0</v>
      </c>
      <c r="H68">
        <v>80</v>
      </c>
      <c r="I68" t="b">
        <v>1</v>
      </c>
    </row>
    <row r="69" spans="1:9" x14ac:dyDescent="0.35">
      <c r="A69" t="s">
        <v>116</v>
      </c>
      <c r="B69" t="s">
        <v>130</v>
      </c>
      <c r="C69" t="s">
        <v>830</v>
      </c>
      <c r="D69" t="s">
        <v>831</v>
      </c>
      <c r="E69" t="s">
        <v>346</v>
      </c>
      <c r="F69" t="s">
        <v>829</v>
      </c>
      <c r="G69">
        <v>-5</v>
      </c>
      <c r="H69">
        <v>84</v>
      </c>
      <c r="I69" t="b">
        <v>0</v>
      </c>
    </row>
    <row r="70" spans="1:9" x14ac:dyDescent="0.35">
      <c r="A70" t="s">
        <v>116</v>
      </c>
      <c r="B70" t="s">
        <v>130</v>
      </c>
      <c r="C70" t="s">
        <v>832</v>
      </c>
      <c r="D70" t="s">
        <v>833</v>
      </c>
      <c r="E70" t="s">
        <v>847</v>
      </c>
      <c r="F70" t="s">
        <v>829</v>
      </c>
      <c r="G70">
        <v>-1</v>
      </c>
      <c r="H70">
        <v>79</v>
      </c>
      <c r="I70" t="b">
        <v>1</v>
      </c>
    </row>
    <row r="71" spans="1:9" x14ac:dyDescent="0.35">
      <c r="A71" t="s">
        <v>116</v>
      </c>
      <c r="B71" t="s">
        <v>130</v>
      </c>
      <c r="C71" t="s">
        <v>834</v>
      </c>
      <c r="D71" t="s">
        <v>835</v>
      </c>
      <c r="E71" t="s">
        <v>327</v>
      </c>
      <c r="F71" t="s">
        <v>836</v>
      </c>
      <c r="G71">
        <v>-1</v>
      </c>
      <c r="H71">
        <v>77</v>
      </c>
      <c r="I71" t="b">
        <v>1</v>
      </c>
    </row>
    <row r="72" spans="1:9" x14ac:dyDescent="0.35">
      <c r="A72" t="s">
        <v>116</v>
      </c>
      <c r="B72" t="s">
        <v>130</v>
      </c>
      <c r="C72" t="s">
        <v>837</v>
      </c>
      <c r="D72" t="s">
        <v>642</v>
      </c>
      <c r="F72" t="s">
        <v>838</v>
      </c>
      <c r="H72">
        <v>83</v>
      </c>
      <c r="I72" t="b">
        <v>0</v>
      </c>
    </row>
    <row r="73" spans="1:9" x14ac:dyDescent="0.35">
      <c r="A73" t="s">
        <v>116</v>
      </c>
      <c r="B73" t="s">
        <v>130</v>
      </c>
      <c r="C73" t="s">
        <v>839</v>
      </c>
      <c r="D73" t="s">
        <v>563</v>
      </c>
      <c r="F73" t="s">
        <v>840</v>
      </c>
      <c r="H73">
        <v>83</v>
      </c>
      <c r="I73" t="b">
        <v>1</v>
      </c>
    </row>
    <row r="74" spans="1:9" x14ac:dyDescent="0.35">
      <c r="A74" t="s">
        <v>117</v>
      </c>
      <c r="B74" t="s">
        <v>127</v>
      </c>
      <c r="C74" t="s">
        <v>828</v>
      </c>
      <c r="D74" t="s">
        <v>682</v>
      </c>
      <c r="E74" t="s">
        <v>561</v>
      </c>
      <c r="F74" t="s">
        <v>829</v>
      </c>
      <c r="G74">
        <v>-5</v>
      </c>
      <c r="H74">
        <v>88</v>
      </c>
      <c r="I74" t="b">
        <v>1</v>
      </c>
    </row>
    <row r="75" spans="1:9" x14ac:dyDescent="0.35">
      <c r="A75" t="s">
        <v>117</v>
      </c>
      <c r="B75" t="s">
        <v>127</v>
      </c>
      <c r="C75" t="s">
        <v>830</v>
      </c>
      <c r="D75" t="s">
        <v>831</v>
      </c>
      <c r="E75" t="s">
        <v>381</v>
      </c>
      <c r="F75" t="s">
        <v>829</v>
      </c>
      <c r="G75">
        <v>4</v>
      </c>
      <c r="H75">
        <v>91</v>
      </c>
      <c r="I75" t="b">
        <v>1</v>
      </c>
    </row>
    <row r="76" spans="1:9" x14ac:dyDescent="0.35">
      <c r="A76" t="s">
        <v>117</v>
      </c>
      <c r="B76" t="s">
        <v>127</v>
      </c>
      <c r="C76" t="s">
        <v>832</v>
      </c>
      <c r="D76" t="s">
        <v>833</v>
      </c>
      <c r="E76" t="s">
        <v>176</v>
      </c>
      <c r="F76" t="s">
        <v>829</v>
      </c>
      <c r="G76">
        <v>-6</v>
      </c>
      <c r="H76">
        <v>96</v>
      </c>
      <c r="I76" t="b">
        <v>1</v>
      </c>
    </row>
    <row r="77" spans="1:9" x14ac:dyDescent="0.35">
      <c r="A77" t="s">
        <v>117</v>
      </c>
      <c r="B77" t="s">
        <v>127</v>
      </c>
      <c r="C77" t="s">
        <v>834</v>
      </c>
      <c r="D77" t="s">
        <v>835</v>
      </c>
      <c r="E77" t="s">
        <v>835</v>
      </c>
      <c r="F77" t="s">
        <v>836</v>
      </c>
      <c r="G77">
        <v>0</v>
      </c>
      <c r="H77">
        <v>96</v>
      </c>
      <c r="I77" t="b">
        <v>1</v>
      </c>
    </row>
    <row r="78" spans="1:9" x14ac:dyDescent="0.35">
      <c r="A78" t="s">
        <v>117</v>
      </c>
      <c r="B78" t="s">
        <v>127</v>
      </c>
      <c r="C78" t="s">
        <v>837</v>
      </c>
      <c r="D78" t="s">
        <v>642</v>
      </c>
      <c r="F78" t="s">
        <v>838</v>
      </c>
      <c r="H78">
        <v>95</v>
      </c>
      <c r="I78" t="b">
        <v>1</v>
      </c>
    </row>
    <row r="79" spans="1:9" x14ac:dyDescent="0.35">
      <c r="A79" t="s">
        <v>117</v>
      </c>
      <c r="B79" t="s">
        <v>127</v>
      </c>
      <c r="C79" t="s">
        <v>839</v>
      </c>
      <c r="D79" t="s">
        <v>563</v>
      </c>
      <c r="F79" t="s">
        <v>840</v>
      </c>
      <c r="H79">
        <v>88</v>
      </c>
      <c r="I79" t="b">
        <v>1</v>
      </c>
    </row>
    <row r="80" spans="1:9" x14ac:dyDescent="0.35">
      <c r="A80" t="s">
        <v>117</v>
      </c>
      <c r="B80" t="s">
        <v>128</v>
      </c>
      <c r="C80" t="s">
        <v>828</v>
      </c>
      <c r="D80" t="s">
        <v>682</v>
      </c>
      <c r="E80" t="s">
        <v>64</v>
      </c>
      <c r="F80" t="s">
        <v>829</v>
      </c>
      <c r="G80">
        <v>-2</v>
      </c>
      <c r="H80">
        <v>85</v>
      </c>
      <c r="I80" t="b">
        <v>1</v>
      </c>
    </row>
    <row r="81" spans="1:9" x14ac:dyDescent="0.35">
      <c r="A81" t="s">
        <v>117</v>
      </c>
      <c r="B81" t="s">
        <v>128</v>
      </c>
      <c r="C81" t="s">
        <v>830</v>
      </c>
      <c r="D81" t="s">
        <v>831</v>
      </c>
      <c r="E81" t="s">
        <v>756</v>
      </c>
      <c r="F81" t="s">
        <v>829</v>
      </c>
      <c r="G81">
        <v>-4</v>
      </c>
      <c r="H81">
        <v>93</v>
      </c>
      <c r="I81" t="b">
        <v>1</v>
      </c>
    </row>
    <row r="82" spans="1:9" x14ac:dyDescent="0.35">
      <c r="A82" t="s">
        <v>117</v>
      </c>
      <c r="B82" t="s">
        <v>128</v>
      </c>
      <c r="C82" t="s">
        <v>832</v>
      </c>
      <c r="D82" t="s">
        <v>833</v>
      </c>
      <c r="E82" t="s">
        <v>844</v>
      </c>
      <c r="F82" t="s">
        <v>829</v>
      </c>
      <c r="G82">
        <v>3</v>
      </c>
      <c r="H82">
        <v>93</v>
      </c>
      <c r="I82" t="b">
        <v>1</v>
      </c>
    </row>
    <row r="83" spans="1:9" x14ac:dyDescent="0.35">
      <c r="A83" t="s">
        <v>117</v>
      </c>
      <c r="B83" t="s">
        <v>128</v>
      </c>
      <c r="C83" t="s">
        <v>834</v>
      </c>
      <c r="D83" t="s">
        <v>835</v>
      </c>
      <c r="E83" t="s">
        <v>784</v>
      </c>
      <c r="F83" t="s">
        <v>836</v>
      </c>
      <c r="G83">
        <v>2</v>
      </c>
      <c r="H83">
        <v>88</v>
      </c>
      <c r="I83" t="b">
        <v>1</v>
      </c>
    </row>
    <row r="84" spans="1:9" x14ac:dyDescent="0.35">
      <c r="A84" t="s">
        <v>117</v>
      </c>
      <c r="B84" t="s">
        <v>128</v>
      </c>
      <c r="C84" t="s">
        <v>837</v>
      </c>
      <c r="D84" t="s">
        <v>642</v>
      </c>
      <c r="F84" t="s">
        <v>838</v>
      </c>
      <c r="H84">
        <v>87</v>
      </c>
      <c r="I84" t="b">
        <v>1</v>
      </c>
    </row>
    <row r="85" spans="1:9" x14ac:dyDescent="0.35">
      <c r="A85" t="s">
        <v>117</v>
      </c>
      <c r="B85" t="s">
        <v>128</v>
      </c>
      <c r="C85" t="s">
        <v>839</v>
      </c>
      <c r="D85" t="s">
        <v>563</v>
      </c>
      <c r="F85" t="s">
        <v>840</v>
      </c>
      <c r="H85">
        <v>92</v>
      </c>
      <c r="I85" t="b">
        <v>1</v>
      </c>
    </row>
    <row r="86" spans="1:9" x14ac:dyDescent="0.35">
      <c r="A86" t="s">
        <v>117</v>
      </c>
      <c r="B86" t="s">
        <v>129</v>
      </c>
      <c r="C86" t="s">
        <v>828</v>
      </c>
      <c r="D86" t="s">
        <v>682</v>
      </c>
      <c r="E86" t="s">
        <v>848</v>
      </c>
      <c r="F86" t="s">
        <v>829</v>
      </c>
      <c r="G86">
        <v>2</v>
      </c>
      <c r="H86">
        <v>82</v>
      </c>
      <c r="I86" t="b">
        <v>1</v>
      </c>
    </row>
    <row r="87" spans="1:9" x14ac:dyDescent="0.35">
      <c r="A87" t="s">
        <v>117</v>
      </c>
      <c r="B87" t="s">
        <v>129</v>
      </c>
      <c r="C87" t="s">
        <v>830</v>
      </c>
      <c r="D87" t="s">
        <v>831</v>
      </c>
      <c r="E87" t="s">
        <v>538</v>
      </c>
      <c r="F87" t="s">
        <v>829</v>
      </c>
      <c r="G87">
        <v>3</v>
      </c>
      <c r="H87">
        <v>84</v>
      </c>
      <c r="I87" t="b">
        <v>0</v>
      </c>
    </row>
    <row r="88" spans="1:9" x14ac:dyDescent="0.35">
      <c r="A88" t="s">
        <v>117</v>
      </c>
      <c r="B88" t="s">
        <v>129</v>
      </c>
      <c r="C88" t="s">
        <v>832</v>
      </c>
      <c r="D88" t="s">
        <v>833</v>
      </c>
      <c r="E88" t="s">
        <v>844</v>
      </c>
      <c r="F88" t="s">
        <v>829</v>
      </c>
      <c r="G88">
        <v>3</v>
      </c>
      <c r="H88">
        <v>82</v>
      </c>
      <c r="I88" t="b">
        <v>1</v>
      </c>
    </row>
    <row r="89" spans="1:9" x14ac:dyDescent="0.35">
      <c r="A89" t="s">
        <v>117</v>
      </c>
      <c r="B89" t="s">
        <v>129</v>
      </c>
      <c r="C89" t="s">
        <v>834</v>
      </c>
      <c r="D89" t="s">
        <v>835</v>
      </c>
      <c r="E89" t="s">
        <v>427</v>
      </c>
      <c r="F89" t="s">
        <v>836</v>
      </c>
      <c r="G89">
        <v>6</v>
      </c>
      <c r="H89">
        <v>83</v>
      </c>
      <c r="I89" t="b">
        <v>1</v>
      </c>
    </row>
    <row r="90" spans="1:9" x14ac:dyDescent="0.35">
      <c r="A90" t="s">
        <v>117</v>
      </c>
      <c r="B90" t="s">
        <v>129</v>
      </c>
      <c r="C90" t="s">
        <v>837</v>
      </c>
      <c r="D90" t="s">
        <v>642</v>
      </c>
      <c r="F90" t="s">
        <v>838</v>
      </c>
      <c r="H90">
        <v>83</v>
      </c>
      <c r="I90" t="b">
        <v>1</v>
      </c>
    </row>
    <row r="91" spans="1:9" x14ac:dyDescent="0.35">
      <c r="A91" t="s">
        <v>117</v>
      </c>
      <c r="B91" t="s">
        <v>129</v>
      </c>
      <c r="C91" t="s">
        <v>839</v>
      </c>
      <c r="D91" t="s">
        <v>563</v>
      </c>
      <c r="F91" t="s">
        <v>840</v>
      </c>
      <c r="H91">
        <v>83</v>
      </c>
      <c r="I91" t="b">
        <v>1</v>
      </c>
    </row>
    <row r="92" spans="1:9" x14ac:dyDescent="0.35">
      <c r="A92" t="s">
        <v>117</v>
      </c>
      <c r="B92" t="s">
        <v>130</v>
      </c>
      <c r="C92" t="s">
        <v>828</v>
      </c>
      <c r="D92" t="s">
        <v>682</v>
      </c>
      <c r="E92" t="s">
        <v>65</v>
      </c>
      <c r="F92" t="s">
        <v>829</v>
      </c>
      <c r="G92">
        <v>5</v>
      </c>
      <c r="H92">
        <v>79</v>
      </c>
      <c r="I92" t="b">
        <v>0</v>
      </c>
    </row>
    <row r="93" spans="1:9" x14ac:dyDescent="0.35">
      <c r="A93" t="s">
        <v>117</v>
      </c>
      <c r="B93" t="s">
        <v>130</v>
      </c>
      <c r="C93" t="s">
        <v>830</v>
      </c>
      <c r="D93" t="s">
        <v>831</v>
      </c>
      <c r="E93" t="s">
        <v>756</v>
      </c>
      <c r="F93" t="s">
        <v>829</v>
      </c>
      <c r="G93">
        <v>-4</v>
      </c>
      <c r="H93">
        <v>82</v>
      </c>
      <c r="I93" t="b">
        <v>1</v>
      </c>
    </row>
    <row r="94" spans="1:9" x14ac:dyDescent="0.35">
      <c r="A94" t="s">
        <v>117</v>
      </c>
      <c r="B94" t="s">
        <v>130</v>
      </c>
      <c r="C94" t="s">
        <v>832</v>
      </c>
      <c r="D94" t="s">
        <v>833</v>
      </c>
      <c r="E94" t="s">
        <v>849</v>
      </c>
      <c r="F94" t="s">
        <v>829</v>
      </c>
      <c r="G94">
        <v>6</v>
      </c>
      <c r="H94">
        <v>82</v>
      </c>
      <c r="I94" t="b">
        <v>1</v>
      </c>
    </row>
    <row r="95" spans="1:9" x14ac:dyDescent="0.35">
      <c r="A95" t="s">
        <v>117</v>
      </c>
      <c r="B95" t="s">
        <v>130</v>
      </c>
      <c r="C95" t="s">
        <v>834</v>
      </c>
      <c r="D95" t="s">
        <v>835</v>
      </c>
      <c r="E95" t="s">
        <v>476</v>
      </c>
      <c r="F95" t="s">
        <v>836</v>
      </c>
      <c r="G95">
        <v>3</v>
      </c>
      <c r="H95">
        <v>84</v>
      </c>
      <c r="I95" t="b">
        <v>1</v>
      </c>
    </row>
    <row r="96" spans="1:9" x14ac:dyDescent="0.35">
      <c r="A96" t="s">
        <v>117</v>
      </c>
      <c r="B96" t="s">
        <v>130</v>
      </c>
      <c r="C96" t="s">
        <v>837</v>
      </c>
      <c r="D96" t="s">
        <v>642</v>
      </c>
      <c r="F96" t="s">
        <v>838</v>
      </c>
      <c r="H96">
        <v>79</v>
      </c>
      <c r="I96" t="b">
        <v>1</v>
      </c>
    </row>
    <row r="97" spans="1:9" x14ac:dyDescent="0.35">
      <c r="A97" t="s">
        <v>117</v>
      </c>
      <c r="B97" t="s">
        <v>130</v>
      </c>
      <c r="C97" t="s">
        <v>839</v>
      </c>
      <c r="D97" t="s">
        <v>563</v>
      </c>
      <c r="F97" t="s">
        <v>840</v>
      </c>
      <c r="H97">
        <v>78</v>
      </c>
      <c r="I97" t="b">
        <v>1</v>
      </c>
    </row>
    <row r="98" spans="1:9" x14ac:dyDescent="0.35">
      <c r="A98" t="s">
        <v>118</v>
      </c>
      <c r="B98" t="s">
        <v>127</v>
      </c>
      <c r="C98" t="s">
        <v>828</v>
      </c>
      <c r="D98" t="s">
        <v>682</v>
      </c>
      <c r="E98" t="s">
        <v>407</v>
      </c>
      <c r="F98" t="s">
        <v>829</v>
      </c>
      <c r="G98">
        <v>-6</v>
      </c>
      <c r="H98">
        <v>92</v>
      </c>
      <c r="I98" t="b">
        <v>1</v>
      </c>
    </row>
    <row r="99" spans="1:9" x14ac:dyDescent="0.35">
      <c r="A99" t="s">
        <v>118</v>
      </c>
      <c r="B99" t="s">
        <v>127</v>
      </c>
      <c r="C99" t="s">
        <v>830</v>
      </c>
      <c r="D99" t="s">
        <v>831</v>
      </c>
      <c r="E99" t="s">
        <v>621</v>
      </c>
      <c r="F99" t="s">
        <v>829</v>
      </c>
      <c r="G99">
        <v>-1</v>
      </c>
      <c r="H99">
        <v>90</v>
      </c>
      <c r="I99" t="b">
        <v>1</v>
      </c>
    </row>
    <row r="100" spans="1:9" x14ac:dyDescent="0.35">
      <c r="A100" t="s">
        <v>118</v>
      </c>
      <c r="B100" t="s">
        <v>127</v>
      </c>
      <c r="C100" t="s">
        <v>832</v>
      </c>
      <c r="D100" t="s">
        <v>833</v>
      </c>
      <c r="E100" t="s">
        <v>253</v>
      </c>
      <c r="F100" t="s">
        <v>829</v>
      </c>
      <c r="G100">
        <v>1</v>
      </c>
      <c r="H100">
        <v>90</v>
      </c>
      <c r="I100" t="b">
        <v>1</v>
      </c>
    </row>
    <row r="101" spans="1:9" x14ac:dyDescent="0.35">
      <c r="A101" t="s">
        <v>118</v>
      </c>
      <c r="B101" t="s">
        <v>127</v>
      </c>
      <c r="C101" t="s">
        <v>834</v>
      </c>
      <c r="D101" t="s">
        <v>835</v>
      </c>
      <c r="E101" t="s">
        <v>400</v>
      </c>
      <c r="F101" t="s">
        <v>836</v>
      </c>
      <c r="G101">
        <v>7</v>
      </c>
      <c r="H101">
        <v>88</v>
      </c>
      <c r="I101" t="b">
        <v>1</v>
      </c>
    </row>
    <row r="102" spans="1:9" x14ac:dyDescent="0.35">
      <c r="A102" t="s">
        <v>118</v>
      </c>
      <c r="B102" t="s">
        <v>127</v>
      </c>
      <c r="C102" t="s">
        <v>837</v>
      </c>
      <c r="D102" t="s">
        <v>642</v>
      </c>
      <c r="F102" t="s">
        <v>838</v>
      </c>
      <c r="H102">
        <v>94</v>
      </c>
      <c r="I102" t="b">
        <v>1</v>
      </c>
    </row>
    <row r="103" spans="1:9" x14ac:dyDescent="0.35">
      <c r="A103" t="s">
        <v>118</v>
      </c>
      <c r="B103" t="s">
        <v>127</v>
      </c>
      <c r="C103" t="s">
        <v>839</v>
      </c>
      <c r="D103" t="s">
        <v>563</v>
      </c>
      <c r="F103" t="s">
        <v>840</v>
      </c>
      <c r="H103">
        <v>95</v>
      </c>
      <c r="I103" t="b">
        <v>0</v>
      </c>
    </row>
    <row r="104" spans="1:9" x14ac:dyDescent="0.35">
      <c r="A104" t="s">
        <v>118</v>
      </c>
      <c r="B104" t="s">
        <v>128</v>
      </c>
      <c r="C104" t="s">
        <v>828</v>
      </c>
      <c r="D104" t="s">
        <v>682</v>
      </c>
      <c r="E104" t="s">
        <v>845</v>
      </c>
      <c r="F104" t="s">
        <v>829</v>
      </c>
      <c r="G104">
        <v>-7</v>
      </c>
      <c r="H104">
        <v>87</v>
      </c>
      <c r="I104" t="b">
        <v>1</v>
      </c>
    </row>
    <row r="105" spans="1:9" x14ac:dyDescent="0.35">
      <c r="A105" t="s">
        <v>118</v>
      </c>
      <c r="B105" t="s">
        <v>128</v>
      </c>
      <c r="C105" t="s">
        <v>830</v>
      </c>
      <c r="D105" t="s">
        <v>831</v>
      </c>
      <c r="E105" t="s">
        <v>381</v>
      </c>
      <c r="F105" t="s">
        <v>829</v>
      </c>
      <c r="G105">
        <v>4</v>
      </c>
      <c r="H105">
        <v>89</v>
      </c>
      <c r="I105" t="b">
        <v>1</v>
      </c>
    </row>
    <row r="106" spans="1:9" x14ac:dyDescent="0.35">
      <c r="A106" t="s">
        <v>118</v>
      </c>
      <c r="B106" t="s">
        <v>128</v>
      </c>
      <c r="C106" t="s">
        <v>832</v>
      </c>
      <c r="D106" t="s">
        <v>833</v>
      </c>
      <c r="E106" t="s">
        <v>73</v>
      </c>
      <c r="F106" t="s">
        <v>829</v>
      </c>
      <c r="G106">
        <v>5</v>
      </c>
      <c r="H106">
        <v>92</v>
      </c>
      <c r="I106" t="b">
        <v>1</v>
      </c>
    </row>
    <row r="107" spans="1:9" x14ac:dyDescent="0.35">
      <c r="A107" t="s">
        <v>118</v>
      </c>
      <c r="B107" t="s">
        <v>128</v>
      </c>
      <c r="C107" t="s">
        <v>834</v>
      </c>
      <c r="D107" t="s">
        <v>835</v>
      </c>
      <c r="E107" t="s">
        <v>491</v>
      </c>
      <c r="F107" t="s">
        <v>836</v>
      </c>
      <c r="G107">
        <v>-4</v>
      </c>
      <c r="H107">
        <v>87</v>
      </c>
      <c r="I107" t="b">
        <v>1</v>
      </c>
    </row>
    <row r="108" spans="1:9" x14ac:dyDescent="0.35">
      <c r="A108" t="s">
        <v>118</v>
      </c>
      <c r="B108" t="s">
        <v>128</v>
      </c>
      <c r="C108" t="s">
        <v>837</v>
      </c>
      <c r="D108" t="s">
        <v>642</v>
      </c>
      <c r="F108" t="s">
        <v>838</v>
      </c>
      <c r="H108">
        <v>92</v>
      </c>
      <c r="I108" t="b">
        <v>1</v>
      </c>
    </row>
    <row r="109" spans="1:9" x14ac:dyDescent="0.35">
      <c r="A109" t="s">
        <v>118</v>
      </c>
      <c r="B109" t="s">
        <v>128</v>
      </c>
      <c r="C109" t="s">
        <v>839</v>
      </c>
      <c r="D109" t="s">
        <v>563</v>
      </c>
      <c r="F109" t="s">
        <v>840</v>
      </c>
      <c r="H109">
        <v>85</v>
      </c>
      <c r="I109" t="b">
        <v>1</v>
      </c>
    </row>
    <row r="110" spans="1:9" x14ac:dyDescent="0.35">
      <c r="A110" t="s">
        <v>118</v>
      </c>
      <c r="B110" t="s">
        <v>129</v>
      </c>
      <c r="C110" t="s">
        <v>828</v>
      </c>
      <c r="D110" t="s">
        <v>682</v>
      </c>
      <c r="E110" t="s">
        <v>841</v>
      </c>
      <c r="F110" t="s">
        <v>829</v>
      </c>
      <c r="G110">
        <v>4</v>
      </c>
      <c r="H110">
        <v>89</v>
      </c>
      <c r="I110" t="b">
        <v>1</v>
      </c>
    </row>
    <row r="111" spans="1:9" x14ac:dyDescent="0.35">
      <c r="A111" t="s">
        <v>118</v>
      </c>
      <c r="B111" t="s">
        <v>129</v>
      </c>
      <c r="C111" t="s">
        <v>830</v>
      </c>
      <c r="D111" t="s">
        <v>831</v>
      </c>
      <c r="E111" t="s">
        <v>794</v>
      </c>
      <c r="F111" t="s">
        <v>829</v>
      </c>
      <c r="G111">
        <v>-6</v>
      </c>
      <c r="H111">
        <v>86</v>
      </c>
      <c r="I111" t="b">
        <v>1</v>
      </c>
    </row>
    <row r="112" spans="1:9" x14ac:dyDescent="0.35">
      <c r="A112" t="s">
        <v>118</v>
      </c>
      <c r="B112" t="s">
        <v>129</v>
      </c>
      <c r="C112" t="s">
        <v>832</v>
      </c>
      <c r="D112" t="s">
        <v>833</v>
      </c>
      <c r="E112" t="s">
        <v>444</v>
      </c>
      <c r="F112" t="s">
        <v>829</v>
      </c>
      <c r="G112">
        <v>-7</v>
      </c>
      <c r="H112">
        <v>90</v>
      </c>
      <c r="I112" t="b">
        <v>1</v>
      </c>
    </row>
    <row r="113" spans="1:9" x14ac:dyDescent="0.35">
      <c r="A113" t="s">
        <v>118</v>
      </c>
      <c r="B113" t="s">
        <v>129</v>
      </c>
      <c r="C113" t="s">
        <v>834</v>
      </c>
      <c r="D113" t="s">
        <v>835</v>
      </c>
      <c r="E113" t="s">
        <v>673</v>
      </c>
      <c r="F113" t="s">
        <v>836</v>
      </c>
      <c r="G113">
        <v>-6</v>
      </c>
      <c r="H113">
        <v>90</v>
      </c>
      <c r="I113" t="b">
        <v>1</v>
      </c>
    </row>
    <row r="114" spans="1:9" x14ac:dyDescent="0.35">
      <c r="A114" t="s">
        <v>118</v>
      </c>
      <c r="B114" t="s">
        <v>129</v>
      </c>
      <c r="C114" t="s">
        <v>837</v>
      </c>
      <c r="D114" t="s">
        <v>642</v>
      </c>
      <c r="F114" t="s">
        <v>838</v>
      </c>
      <c r="H114">
        <v>87</v>
      </c>
      <c r="I114" t="b">
        <v>1</v>
      </c>
    </row>
    <row r="115" spans="1:9" x14ac:dyDescent="0.35">
      <c r="A115" t="s">
        <v>118</v>
      </c>
      <c r="B115" t="s">
        <v>129</v>
      </c>
      <c r="C115" t="s">
        <v>839</v>
      </c>
      <c r="D115" t="s">
        <v>563</v>
      </c>
      <c r="F115" t="s">
        <v>840</v>
      </c>
      <c r="H115">
        <v>90</v>
      </c>
      <c r="I115" t="b">
        <v>1</v>
      </c>
    </row>
    <row r="116" spans="1:9" x14ac:dyDescent="0.35">
      <c r="A116" t="s">
        <v>118</v>
      </c>
      <c r="B116" t="s">
        <v>130</v>
      </c>
      <c r="C116" t="s">
        <v>828</v>
      </c>
      <c r="D116" t="s">
        <v>682</v>
      </c>
      <c r="E116" t="s">
        <v>65</v>
      </c>
      <c r="F116" t="s">
        <v>829</v>
      </c>
      <c r="G116">
        <v>5</v>
      </c>
      <c r="H116">
        <v>79</v>
      </c>
      <c r="I116" t="b">
        <v>1</v>
      </c>
    </row>
    <row r="117" spans="1:9" x14ac:dyDescent="0.35">
      <c r="A117" t="s">
        <v>118</v>
      </c>
      <c r="B117" t="s">
        <v>130</v>
      </c>
      <c r="C117" t="s">
        <v>830</v>
      </c>
      <c r="D117" t="s">
        <v>831</v>
      </c>
      <c r="E117" t="s">
        <v>756</v>
      </c>
      <c r="F117" t="s">
        <v>829</v>
      </c>
      <c r="G117">
        <v>-4</v>
      </c>
      <c r="H117">
        <v>77</v>
      </c>
      <c r="I117" t="b">
        <v>1</v>
      </c>
    </row>
    <row r="118" spans="1:9" x14ac:dyDescent="0.35">
      <c r="A118" t="s">
        <v>118</v>
      </c>
      <c r="B118" t="s">
        <v>130</v>
      </c>
      <c r="C118" t="s">
        <v>832</v>
      </c>
      <c r="D118" t="s">
        <v>833</v>
      </c>
      <c r="E118" t="s">
        <v>844</v>
      </c>
      <c r="F118" t="s">
        <v>829</v>
      </c>
      <c r="G118">
        <v>3</v>
      </c>
      <c r="H118">
        <v>83</v>
      </c>
      <c r="I118" t="b">
        <v>1</v>
      </c>
    </row>
    <row r="119" spans="1:9" x14ac:dyDescent="0.35">
      <c r="A119" t="s">
        <v>118</v>
      </c>
      <c r="B119" t="s">
        <v>130</v>
      </c>
      <c r="C119" t="s">
        <v>834</v>
      </c>
      <c r="D119" t="s">
        <v>835</v>
      </c>
      <c r="E119" t="s">
        <v>256</v>
      </c>
      <c r="F119" t="s">
        <v>836</v>
      </c>
      <c r="G119">
        <v>-5</v>
      </c>
      <c r="H119">
        <v>76</v>
      </c>
      <c r="I119" t="b">
        <v>0</v>
      </c>
    </row>
    <row r="120" spans="1:9" x14ac:dyDescent="0.35">
      <c r="A120" t="s">
        <v>118</v>
      </c>
      <c r="B120" t="s">
        <v>130</v>
      </c>
      <c r="C120" t="s">
        <v>837</v>
      </c>
      <c r="D120" t="s">
        <v>642</v>
      </c>
      <c r="F120" t="s">
        <v>838</v>
      </c>
      <c r="H120">
        <v>80</v>
      </c>
      <c r="I120" t="b">
        <v>1</v>
      </c>
    </row>
    <row r="121" spans="1:9" x14ac:dyDescent="0.35">
      <c r="A121" t="s">
        <v>118</v>
      </c>
      <c r="B121" t="s">
        <v>130</v>
      </c>
      <c r="C121" t="s">
        <v>839</v>
      </c>
      <c r="D121" t="s">
        <v>563</v>
      </c>
      <c r="F121" t="s">
        <v>840</v>
      </c>
      <c r="H121">
        <v>81</v>
      </c>
      <c r="I121" t="b">
        <v>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>
      <selection sqref="A1:I17"/>
    </sheetView>
  </sheetViews>
  <sheetFormatPr defaultRowHeight="14.5" x14ac:dyDescent="0.35"/>
  <cols>
    <col min="1" max="1" width="9.6328125" customWidth="1"/>
    <col min="2" max="2" width="21.7265625" customWidth="1"/>
    <col min="3" max="3" width="13.7265625" customWidth="1"/>
    <col min="4" max="4" width="25.453125" customWidth="1"/>
    <col min="5" max="5" width="15.36328125" customWidth="1"/>
    <col min="6" max="6" width="11.6328125" customWidth="1"/>
    <col min="7" max="7" width="20.453125" customWidth="1"/>
    <col min="8" max="8" width="19.6328125" customWidth="1"/>
    <col min="9" max="9" width="12.453125" customWidth="1"/>
  </cols>
  <sheetData>
    <row r="1" spans="1:9" x14ac:dyDescent="0.35">
      <c r="A1" t="s">
        <v>2</v>
      </c>
      <c r="B1" t="s">
        <v>850</v>
      </c>
      <c r="C1" t="s">
        <v>851</v>
      </c>
      <c r="D1" t="s">
        <v>852</v>
      </c>
      <c r="E1" t="s">
        <v>853</v>
      </c>
      <c r="F1" t="s">
        <v>854</v>
      </c>
      <c r="G1" t="s">
        <v>855</v>
      </c>
      <c r="H1" t="s">
        <v>856</v>
      </c>
      <c r="I1" t="s">
        <v>857</v>
      </c>
    </row>
    <row r="2" spans="1:9" x14ac:dyDescent="0.35">
      <c r="A2" t="s">
        <v>48</v>
      </c>
      <c r="B2">
        <v>95.1</v>
      </c>
      <c r="C2">
        <v>1906</v>
      </c>
      <c r="D2">
        <v>69.3</v>
      </c>
      <c r="E2">
        <v>13.3</v>
      </c>
      <c r="F2">
        <v>37</v>
      </c>
      <c r="G2">
        <v>5.58</v>
      </c>
      <c r="H2">
        <v>0</v>
      </c>
      <c r="I2" t="s">
        <v>10</v>
      </c>
    </row>
    <row r="3" spans="1:9" x14ac:dyDescent="0.35">
      <c r="A3" t="s">
        <v>55</v>
      </c>
      <c r="B3">
        <v>85.4</v>
      </c>
      <c r="C3">
        <v>340</v>
      </c>
      <c r="D3">
        <v>94</v>
      </c>
      <c r="E3">
        <v>13</v>
      </c>
      <c r="F3">
        <v>40</v>
      </c>
      <c r="G3">
        <v>16.57</v>
      </c>
      <c r="H3">
        <v>3</v>
      </c>
      <c r="I3" t="s">
        <v>16</v>
      </c>
    </row>
    <row r="4" spans="1:9" x14ac:dyDescent="0.35">
      <c r="A4" t="s">
        <v>12</v>
      </c>
      <c r="B4">
        <v>91.4</v>
      </c>
      <c r="C4">
        <v>1384</v>
      </c>
      <c r="D4">
        <v>74.7</v>
      </c>
      <c r="E4">
        <v>2</v>
      </c>
      <c r="F4">
        <v>17</v>
      </c>
      <c r="G4">
        <v>3.47</v>
      </c>
      <c r="H4">
        <v>3</v>
      </c>
      <c r="I4" t="s">
        <v>16</v>
      </c>
    </row>
    <row r="5" spans="1:9" x14ac:dyDescent="0.35">
      <c r="A5" t="s">
        <v>35</v>
      </c>
      <c r="B5">
        <v>81.8</v>
      </c>
      <c r="C5">
        <v>953</v>
      </c>
      <c r="D5">
        <v>70.099999999999994</v>
      </c>
      <c r="E5">
        <v>10.5</v>
      </c>
      <c r="F5">
        <v>6</v>
      </c>
      <c r="G5">
        <v>25.02</v>
      </c>
      <c r="H5">
        <v>1</v>
      </c>
      <c r="I5" t="s">
        <v>16</v>
      </c>
    </row>
    <row r="6" spans="1:9" x14ac:dyDescent="0.35">
      <c r="A6" t="s">
        <v>9</v>
      </c>
      <c r="B6">
        <v>96.1</v>
      </c>
      <c r="C6">
        <v>1913</v>
      </c>
      <c r="D6">
        <v>73.2</v>
      </c>
      <c r="E6">
        <v>6.7</v>
      </c>
      <c r="F6">
        <v>32</v>
      </c>
      <c r="G6">
        <v>20.38</v>
      </c>
      <c r="H6">
        <v>2</v>
      </c>
      <c r="I6" t="s">
        <v>10</v>
      </c>
    </row>
    <row r="7" spans="1:9" x14ac:dyDescent="0.35">
      <c r="A7" t="s">
        <v>28</v>
      </c>
      <c r="B7">
        <v>77.3</v>
      </c>
      <c r="C7">
        <v>571</v>
      </c>
      <c r="D7">
        <v>68.900000000000006</v>
      </c>
      <c r="E7">
        <v>10.199999999999999</v>
      </c>
      <c r="F7">
        <v>20</v>
      </c>
      <c r="G7">
        <v>4.51</v>
      </c>
      <c r="H7">
        <v>3</v>
      </c>
      <c r="I7" t="s">
        <v>10</v>
      </c>
    </row>
    <row r="8" spans="1:9" x14ac:dyDescent="0.35">
      <c r="A8" t="s">
        <v>25</v>
      </c>
      <c r="B8">
        <v>82.9</v>
      </c>
      <c r="C8">
        <v>1457</v>
      </c>
      <c r="D8">
        <v>74.400000000000006</v>
      </c>
      <c r="E8">
        <v>5.3</v>
      </c>
      <c r="F8">
        <v>13</v>
      </c>
      <c r="G8">
        <v>22.28</v>
      </c>
      <c r="H8">
        <v>4</v>
      </c>
      <c r="I8" t="s">
        <v>16</v>
      </c>
    </row>
    <row r="9" spans="1:9" x14ac:dyDescent="0.35">
      <c r="A9" t="s">
        <v>53</v>
      </c>
      <c r="B9">
        <v>87</v>
      </c>
      <c r="C9">
        <v>990</v>
      </c>
      <c r="D9">
        <v>70.5</v>
      </c>
      <c r="E9">
        <v>15.4</v>
      </c>
      <c r="F9">
        <v>34</v>
      </c>
      <c r="G9">
        <v>24.25</v>
      </c>
      <c r="H9">
        <v>1</v>
      </c>
      <c r="I9" t="s">
        <v>43</v>
      </c>
    </row>
    <row r="10" spans="1:9" x14ac:dyDescent="0.35">
      <c r="A10" t="s">
        <v>20</v>
      </c>
      <c r="B10">
        <v>84.3</v>
      </c>
      <c r="C10">
        <v>1945</v>
      </c>
      <c r="D10">
        <v>76.099999999999994</v>
      </c>
      <c r="E10">
        <v>13.1</v>
      </c>
      <c r="F10">
        <v>18</v>
      </c>
      <c r="G10">
        <v>7.54</v>
      </c>
      <c r="H10">
        <v>3</v>
      </c>
      <c r="I10" t="s">
        <v>43</v>
      </c>
    </row>
    <row r="11" spans="1:9" x14ac:dyDescent="0.35">
      <c r="A11" t="s">
        <v>38</v>
      </c>
      <c r="B11">
        <v>77.8</v>
      </c>
      <c r="C11">
        <v>660</v>
      </c>
      <c r="D11">
        <v>94.5</v>
      </c>
      <c r="E11">
        <v>16.2</v>
      </c>
      <c r="F11">
        <v>29</v>
      </c>
      <c r="G11">
        <v>27.46</v>
      </c>
      <c r="H11">
        <v>0</v>
      </c>
      <c r="I11" t="s">
        <v>10</v>
      </c>
    </row>
    <row r="12" spans="1:9" x14ac:dyDescent="0.35">
      <c r="A12" t="s">
        <v>18</v>
      </c>
      <c r="B12">
        <v>91.1</v>
      </c>
      <c r="C12">
        <v>2115</v>
      </c>
      <c r="D12">
        <v>69</v>
      </c>
      <c r="E12">
        <v>9.6</v>
      </c>
      <c r="F12">
        <v>33</v>
      </c>
      <c r="G12">
        <v>22.82</v>
      </c>
      <c r="H12">
        <v>0</v>
      </c>
      <c r="I12" t="s">
        <v>10</v>
      </c>
    </row>
    <row r="13" spans="1:9" x14ac:dyDescent="0.35">
      <c r="A13" t="s">
        <v>15</v>
      </c>
      <c r="B13">
        <v>84.9</v>
      </c>
      <c r="C13">
        <v>390</v>
      </c>
      <c r="D13">
        <v>84.2</v>
      </c>
      <c r="E13">
        <v>0.2</v>
      </c>
      <c r="F13">
        <v>29</v>
      </c>
      <c r="G13">
        <v>26.64</v>
      </c>
      <c r="H13">
        <v>1</v>
      </c>
      <c r="I13" t="s">
        <v>10</v>
      </c>
    </row>
    <row r="14" spans="1:9" x14ac:dyDescent="0.35">
      <c r="A14" t="s">
        <v>33</v>
      </c>
      <c r="B14">
        <v>79.7</v>
      </c>
      <c r="C14">
        <v>421</v>
      </c>
      <c r="D14">
        <v>68.5</v>
      </c>
      <c r="E14">
        <v>12</v>
      </c>
      <c r="F14">
        <v>13</v>
      </c>
      <c r="G14">
        <v>19.93</v>
      </c>
      <c r="H14">
        <v>4</v>
      </c>
      <c r="I14" t="s">
        <v>43</v>
      </c>
    </row>
    <row r="15" spans="1:9" x14ac:dyDescent="0.35">
      <c r="A15" t="s">
        <v>46</v>
      </c>
      <c r="B15">
        <v>72.599999999999994</v>
      </c>
      <c r="C15">
        <v>1913</v>
      </c>
      <c r="D15">
        <v>81.400000000000006</v>
      </c>
      <c r="E15">
        <v>2.5</v>
      </c>
      <c r="F15">
        <v>28</v>
      </c>
      <c r="G15">
        <v>5.83</v>
      </c>
      <c r="H15">
        <v>2</v>
      </c>
      <c r="I15" t="s">
        <v>10</v>
      </c>
    </row>
    <row r="16" spans="1:9" x14ac:dyDescent="0.35">
      <c r="A16" t="s">
        <v>23</v>
      </c>
      <c r="B16">
        <v>90.3</v>
      </c>
      <c r="C16">
        <v>55</v>
      </c>
      <c r="D16">
        <v>93</v>
      </c>
      <c r="E16">
        <v>1.3</v>
      </c>
      <c r="F16">
        <v>24</v>
      </c>
      <c r="G16">
        <v>15.24</v>
      </c>
      <c r="H16">
        <v>2</v>
      </c>
      <c r="I16" t="s">
        <v>10</v>
      </c>
    </row>
    <row r="17" spans="1:9" x14ac:dyDescent="0.35">
      <c r="A17" t="s">
        <v>40</v>
      </c>
      <c r="B17">
        <v>91.6</v>
      </c>
      <c r="C17">
        <v>898</v>
      </c>
      <c r="D17">
        <v>90.8</v>
      </c>
      <c r="E17">
        <v>1.5</v>
      </c>
      <c r="F17">
        <v>24</v>
      </c>
      <c r="G17">
        <v>20.81</v>
      </c>
      <c r="H17">
        <v>0</v>
      </c>
      <c r="I17" t="s">
        <v>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Dashboard</vt:lpstr>
      <vt:lpstr>Parts_Master</vt:lpstr>
      <vt:lpstr>Demand_Forecast</vt:lpstr>
      <vt:lpstr>Inventory_Coverage</vt:lpstr>
      <vt:lpstr>Purchase_Orders</vt:lpstr>
      <vt:lpstr>NPI_Program_Tracker</vt:lpstr>
      <vt:lpstr>Supplier_Scorecard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kaleem hassan</cp:lastModifiedBy>
  <dcterms:created xsi:type="dcterms:W3CDTF">2026-06-06T20:04:30Z</dcterms:created>
  <dcterms:modified xsi:type="dcterms:W3CDTF">2026-06-29T02:21:22Z</dcterms:modified>
</cp:coreProperties>
</file>